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Laptop.Saman\Desktop\Excel\"/>
    </mc:Choice>
  </mc:AlternateContent>
  <xr:revisionPtr revIDLastSave="0" documentId="13_ncr:1_{F497B58C-4127-4136-8F0B-A233BB244F5B}" xr6:coauthVersionLast="36" xr6:coauthVersionMax="36" xr10:uidLastSave="{00000000-0000-0000-0000-000000000000}"/>
  <bookViews>
    <workbookView xWindow="0" yWindow="0" windowWidth="20520" windowHeight="9435" activeTab="1" xr2:uid="{00000000-000D-0000-FFFF-FFFF00000000}"/>
  </bookViews>
  <sheets>
    <sheet name="Dashboard" sheetId="3" r:id="rId1"/>
    <sheet name="SalesData" sheetId="1" r:id="rId2"/>
    <sheet name="Pivot Table" sheetId="2" r:id="rId3"/>
  </sheets>
  <definedNames>
    <definedName name="_xlnm._FilterDatabase" localSheetId="1" hidden="1">SalesData!$A$1:$N$301</definedName>
    <definedName name="Slicer_Category">#N/A</definedName>
    <definedName name="Slicer_City">#N/A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0" i="3" l="1"/>
  <c r="J9" i="3"/>
  <c r="J8" i="3"/>
  <c r="Q2" i="1" l="1"/>
  <c r="P2" i="1"/>
  <c r="O2" i="1"/>
</calcChain>
</file>

<file path=xl/sharedStrings.xml><?xml version="1.0" encoding="utf-8"?>
<sst xmlns="http://schemas.openxmlformats.org/spreadsheetml/2006/main" count="1915" uniqueCount="155">
  <si>
    <t>OrderID</t>
  </si>
  <si>
    <t>OrderDate</t>
  </si>
  <si>
    <t>Customer</t>
  </si>
  <si>
    <t>City</t>
  </si>
  <si>
    <t>Salesperson</t>
  </si>
  <si>
    <t>Category</t>
  </si>
  <si>
    <t>Product</t>
  </si>
  <si>
    <t>Quantity</t>
  </si>
  <si>
    <t>UnitPrice</t>
  </si>
  <si>
    <t>Discount</t>
  </si>
  <si>
    <t>Revenue</t>
  </si>
  <si>
    <t>Cost</t>
  </si>
  <si>
    <t>Profit</t>
  </si>
  <si>
    <t>PaymentMethod</t>
  </si>
  <si>
    <t>Customer 69</t>
  </si>
  <si>
    <t>Tehran</t>
  </si>
  <si>
    <t>Sara</t>
  </si>
  <si>
    <t>Hotel</t>
  </si>
  <si>
    <t>Booking B</t>
  </si>
  <si>
    <t>Online</t>
  </si>
  <si>
    <t>Customer 68</t>
  </si>
  <si>
    <t>Mashhad</t>
  </si>
  <si>
    <t>Customer 36</t>
  </si>
  <si>
    <t>Isfahan</t>
  </si>
  <si>
    <t>Neda</t>
  </si>
  <si>
    <t>Flight</t>
  </si>
  <si>
    <t>Domestic</t>
  </si>
  <si>
    <t>Customer 10</t>
  </si>
  <si>
    <t>Shiraz</t>
  </si>
  <si>
    <t>Ali</t>
  </si>
  <si>
    <t>Tour</t>
  </si>
  <si>
    <t>City Tour</t>
  </si>
  <si>
    <t>Card</t>
  </si>
  <si>
    <t>Customer 15</t>
  </si>
  <si>
    <t>Cash</t>
  </si>
  <si>
    <t>Customer 44</t>
  </si>
  <si>
    <t>Customer 60</t>
  </si>
  <si>
    <t>Desert Tour</t>
  </si>
  <si>
    <t>Customer 28</t>
  </si>
  <si>
    <t>Customer 56</t>
  </si>
  <si>
    <t>Tabriz</t>
  </si>
  <si>
    <t>Customer 58</t>
  </si>
  <si>
    <t>Reza</t>
  </si>
  <si>
    <t>Customer 1</t>
  </si>
  <si>
    <t>Booking A</t>
  </si>
  <si>
    <t>International</t>
  </si>
  <si>
    <t>Customer 54</t>
  </si>
  <si>
    <t>Customer 53</t>
  </si>
  <si>
    <t>Customer 32</t>
  </si>
  <si>
    <t>Customer 13</t>
  </si>
  <si>
    <t>Customer 80</t>
  </si>
  <si>
    <t>Customer 42</t>
  </si>
  <si>
    <t>Customer 55</t>
  </si>
  <si>
    <t>Customer 48</t>
  </si>
  <si>
    <t>Customer 20</t>
  </si>
  <si>
    <t>Customer 64</t>
  </si>
  <si>
    <t>Customer 26</t>
  </si>
  <si>
    <t>Customer 41</t>
  </si>
  <si>
    <t>Customer 8</t>
  </si>
  <si>
    <t>Customer 4</t>
  </si>
  <si>
    <t>Customer 12</t>
  </si>
  <si>
    <t>Customer 40</t>
  </si>
  <si>
    <t>Customer 27</t>
  </si>
  <si>
    <t>Customer 24</t>
  </si>
  <si>
    <t>Customer 50</t>
  </si>
  <si>
    <t>Customer 79</t>
  </si>
  <si>
    <t>Customer 33</t>
  </si>
  <si>
    <t>Customer 38</t>
  </si>
  <si>
    <t>Customer 76</t>
  </si>
  <si>
    <t>Customer 6</t>
  </si>
  <si>
    <t>Customer 75</t>
  </si>
  <si>
    <t>Customer 72</t>
  </si>
  <si>
    <t>Customer 29</t>
  </si>
  <si>
    <t>Customer 62</t>
  </si>
  <si>
    <t>Customer 5</t>
  </si>
  <si>
    <t>Customer 73</t>
  </si>
  <si>
    <t>Customer 59</t>
  </si>
  <si>
    <t>Customer 2</t>
  </si>
  <si>
    <t>Customer 19</t>
  </si>
  <si>
    <t>Customer 71</t>
  </si>
  <si>
    <t>Customer 18</t>
  </si>
  <si>
    <t>Customer 47</t>
  </si>
  <si>
    <t>Customer 35</t>
  </si>
  <si>
    <t>Customer 43</t>
  </si>
  <si>
    <t>Customer 49</t>
  </si>
  <si>
    <t>Customer 77</t>
  </si>
  <si>
    <t>Customer 9</t>
  </si>
  <si>
    <t>Customer 45</t>
  </si>
  <si>
    <t>Customer 37</t>
  </si>
  <si>
    <t>Customer 66</t>
  </si>
  <si>
    <t>Customer 65</t>
  </si>
  <si>
    <t>Customer 57</t>
  </si>
  <si>
    <t>Customer 51</t>
  </si>
  <si>
    <t>Customer 70</t>
  </si>
  <si>
    <t>Customer 31</t>
  </si>
  <si>
    <t>Customer 23</t>
  </si>
  <si>
    <t>Customer 34</t>
  </si>
  <si>
    <t>Customer 21</t>
  </si>
  <si>
    <t>Customer 7</t>
  </si>
  <si>
    <t>Customer 30</t>
  </si>
  <si>
    <t>Customer 63</t>
  </si>
  <si>
    <t>Customer 52</t>
  </si>
  <si>
    <t>Customer 25</t>
  </si>
  <si>
    <t>Customer 16</t>
  </si>
  <si>
    <t>Customer 46</t>
  </si>
  <si>
    <t>Customer 22</t>
  </si>
  <si>
    <t>Customer 11</t>
  </si>
  <si>
    <t>Customer 67</t>
  </si>
  <si>
    <t>Customer 3</t>
  </si>
  <si>
    <t>Customer 17</t>
  </si>
  <si>
    <t>Customer 78</t>
  </si>
  <si>
    <t>Customer 39</t>
  </si>
  <si>
    <t>Customer 14</t>
  </si>
  <si>
    <t>Customer 61</t>
  </si>
  <si>
    <t>سود کل</t>
  </si>
  <si>
    <t xml:space="preserve">sales </t>
  </si>
  <si>
    <t>Column1</t>
  </si>
  <si>
    <t>Sum of Profit</t>
  </si>
  <si>
    <t>Row Labels</t>
  </si>
  <si>
    <t>Grand Total</t>
  </si>
  <si>
    <t>Sum of Revenue</t>
  </si>
  <si>
    <t>Column Labels</t>
  </si>
  <si>
    <t>Average of Revenue</t>
  </si>
  <si>
    <t xml:space="preserve"> </t>
  </si>
  <si>
    <t>Column2</t>
  </si>
  <si>
    <t>2025</t>
  </si>
  <si>
    <t>Qtr3</t>
  </si>
  <si>
    <t>Qtr4</t>
  </si>
  <si>
    <t>اُكتبر</t>
  </si>
  <si>
    <t>نوامبر</t>
  </si>
  <si>
    <t>دسامبر</t>
  </si>
  <si>
    <t>2026</t>
  </si>
  <si>
    <t>Qtr1</t>
  </si>
  <si>
    <t>ژانويه</t>
  </si>
  <si>
    <t>فوريه</t>
  </si>
  <si>
    <t>مارس</t>
  </si>
  <si>
    <t>Qtr2</t>
  </si>
  <si>
    <t>آوريل</t>
  </si>
  <si>
    <t>مه</t>
  </si>
  <si>
    <t>ژوئن</t>
  </si>
  <si>
    <t>تحلیل داده های فروش</t>
  </si>
  <si>
    <t>تهیه شده توسط ندا رمازی</t>
  </si>
  <si>
    <t>فروش کل:</t>
  </si>
  <si>
    <t>سود کل:</t>
  </si>
  <si>
    <t>میانگین مبلغ سفارش:</t>
  </si>
  <si>
    <t xml:space="preserve">پرفروش ترین محصولات: </t>
  </si>
  <si>
    <t>تهران         ۶۲،۴۰۵</t>
  </si>
  <si>
    <t>شیراز          ۵۷،۴۷۳</t>
  </si>
  <si>
    <t>مشهد         ۵۶،۰۰۲</t>
  </si>
  <si>
    <t>پرفروش ترین شهرها:</t>
  </si>
  <si>
    <t>پرفروش ترین دسته بندی:</t>
  </si>
  <si>
    <t>بهترین فروشنده:</t>
  </si>
  <si>
    <t>بیشترین فروش در ماه:</t>
  </si>
  <si>
    <t>اکتبر</t>
  </si>
  <si>
    <t>کم فروش ترین ماه: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</si>
</sst>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_ر_ي_ا_ل_ ;_ * #,##0.00\-_ر_ي_ا_ل_ ;_ * &quot;-&quot;??_-_ر_ي_ا_ل_ ;_ @_ "/>
    <numFmt numFmtId="164" formatCode="[$-160429]yyyy/mm/dd;@"/>
    <numFmt numFmtId="165" formatCode="_ * #,##0_-_ر_ي_ا_ل_ ;_ * #,##0\-_ر_ي_ا_ل_ ;_ * &quot;-&quot;??_-_ر_ي_ا_ل_ ;_ @_ "/>
    <numFmt numFmtId="166" formatCode="[$-3000401]0"/>
    <numFmt numFmtId="167" formatCode="[$-3000401]#,##0"/>
  </numFmts>
  <fonts count="4" x14ac:knownFonts="1">
    <font>
      <sz val="11"/>
      <color theme="1"/>
      <name val="Corbel"/>
      <family val="2"/>
      <scheme val="minor"/>
    </font>
    <font>
      <sz val="11"/>
      <color theme="1"/>
      <name val="Corbel"/>
      <family val="2"/>
      <scheme val="minor"/>
    </font>
    <font>
      <b/>
      <sz val="11"/>
      <color theme="1"/>
      <name val="Corbel"/>
      <family val="2"/>
      <scheme val="minor"/>
    </font>
    <font>
      <b/>
      <sz val="20"/>
      <color theme="1"/>
      <name val="Corbel"/>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applyAlignment="1">
      <alignment horizontal="left" indent="2"/>
    </xf>
    <xf numFmtId="165" fontId="0" fillId="0" borderId="0" xfId="1" applyNumberFormat="1" applyFont="1"/>
    <xf numFmtId="165" fontId="0" fillId="0" borderId="0" xfId="0" applyNumberFormat="1"/>
    <xf numFmtId="0" fontId="0" fillId="4" borderId="0" xfId="0" applyFill="1"/>
    <xf numFmtId="0" fontId="3" fillId="2" borderId="0" xfId="0" applyFont="1" applyFill="1" applyAlignment="1">
      <alignment horizontal="center" vertical="center"/>
    </xf>
    <xf numFmtId="0" fontId="0" fillId="2" borderId="0" xfId="0" applyFill="1" applyAlignment="1">
      <alignment horizontal="center" vertical="center"/>
    </xf>
    <xf numFmtId="0" fontId="0" fillId="3" borderId="0" xfId="0" applyFill="1" applyAlignment="1">
      <alignment horizontal="center"/>
    </xf>
    <xf numFmtId="0" fontId="0" fillId="5" borderId="0" xfId="0" applyFill="1"/>
    <xf numFmtId="3" fontId="2" fillId="5" borderId="0" xfId="0" applyNumberFormat="1" applyFont="1" applyFill="1" applyAlignment="1">
      <alignment horizontal="left"/>
    </xf>
    <xf numFmtId="0" fontId="2" fillId="5" borderId="0" xfId="0" applyFont="1" applyFill="1"/>
    <xf numFmtId="3" fontId="0" fillId="5" borderId="0" xfId="0" applyNumberFormat="1" applyFill="1"/>
    <xf numFmtId="167" fontId="0" fillId="5" borderId="0" xfId="0" applyNumberFormat="1" applyFill="1" applyAlignment="1">
      <alignment horizontal="left"/>
    </xf>
    <xf numFmtId="166" fontId="2" fillId="5" borderId="0" xfId="0" applyNumberFormat="1" applyFont="1" applyFill="1"/>
    <xf numFmtId="0" fontId="2" fillId="5" borderId="0" xfId="0" applyFont="1" applyFill="1" applyAlignment="1">
      <alignment horizontal="left"/>
    </xf>
    <xf numFmtId="167" fontId="2" fillId="5" borderId="0" xfId="0" applyNumberFormat="1" applyFont="1" applyFill="1"/>
  </cellXfs>
  <cellStyles count="2">
    <cellStyle name="Comma" xfId="1" builtinId="3"/>
    <cellStyle name="Normal" xfId="0" builtinId="0"/>
  </cellStyles>
  <dxfs count="23">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2" formatCode="0.00"/>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5" formatCode="_ * #,##0_-_ر_ي_ا_ل_ ;_ * #,##0\-_ر_ي_ا_ل_ ;_ * &quot;-&quot;??_-_ر_ي_ا_ل_ ;_ @_ "/>
    </dxf>
    <dxf>
      <numFmt numFmtId="164" formatCode="[$-160429]yyyy/mm/dd;@"/>
    </dxf>
  </dxfs>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[Excel_Project_1_Sales_Dataset.xlsx]Pivot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a-IR" b="1"/>
              <a:t>فروش</a:t>
            </a:r>
            <a:r>
              <a:rPr lang="fa-IR" b="1" baseline="0"/>
              <a:t> ماهانه</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Table'!$A$57:$A$73</c:f>
              <c:multiLvlStrCache>
                <c:ptCount val="11"/>
                <c:lvl>
                  <c:pt idx="1">
                    <c:v>اُكتبر</c:v>
                  </c:pt>
                  <c:pt idx="2">
                    <c:v>نوامبر</c:v>
                  </c:pt>
                  <c:pt idx="3">
                    <c:v>دسامبر</c:v>
                  </c:pt>
                  <c:pt idx="4">
                    <c:v>ژانويه</c:v>
                  </c:pt>
                  <c:pt idx="5">
                    <c:v>فوريه</c:v>
                  </c:pt>
                  <c:pt idx="6">
                    <c:v>مارس</c:v>
                  </c:pt>
                  <c:pt idx="7">
                    <c:v>آوريل</c:v>
                  </c:pt>
                  <c:pt idx="8">
                    <c:v>مه</c:v>
                  </c:pt>
                  <c:pt idx="9">
                    <c:v>ژوئن</c:v>
                  </c:pt>
                </c:lvl>
                <c:lvl>
                  <c:pt idx="0">
                    <c:v>Qtr3</c:v>
                  </c:pt>
                  <c:pt idx="1">
                    <c:v>Qtr4</c:v>
                  </c:pt>
                  <c:pt idx="4">
                    <c:v>Qtr1</c:v>
                  </c:pt>
                  <c:pt idx="7">
                    <c:v>Qtr2</c:v>
                  </c:pt>
                  <c:pt idx="10">
                    <c:v>Qtr3</c:v>
                  </c:pt>
                </c:lvl>
                <c:lvl>
                  <c:pt idx="0">
                    <c:v>2025</c:v>
                  </c:pt>
                  <c:pt idx="4">
                    <c:v>2026</c:v>
                  </c:pt>
                </c:lvl>
              </c:multiLvlStrCache>
            </c:multiLvlStrRef>
          </c:cat>
          <c:val>
            <c:numRef>
              <c:f>'Pivot Table'!$B$57:$B$73</c:f>
              <c:numCache>
                <c:formatCode>_ * #,##0_-_ر_ي_ا_ل_ ;_ * #,##0\-_ر_ي_ا_ل_ ;_ * "-"??_-_ر_ي_ا_ل_ ;_ @_ </c:formatCode>
                <c:ptCount val="11"/>
                <c:pt idx="0">
                  <c:v>76235.5</c:v>
                </c:pt>
                <c:pt idx="1">
                  <c:v>105887</c:v>
                </c:pt>
                <c:pt idx="2">
                  <c:v>79965</c:v>
                </c:pt>
                <c:pt idx="3">
                  <c:v>82260.5</c:v>
                </c:pt>
                <c:pt idx="4">
                  <c:v>86463.5</c:v>
                </c:pt>
                <c:pt idx="5">
                  <c:v>84199.5</c:v>
                </c:pt>
                <c:pt idx="6">
                  <c:v>86092</c:v>
                </c:pt>
                <c:pt idx="7">
                  <c:v>89469</c:v>
                </c:pt>
                <c:pt idx="8">
                  <c:v>101015</c:v>
                </c:pt>
                <c:pt idx="9">
                  <c:v>85592</c:v>
                </c:pt>
                <c:pt idx="10">
                  <c:v>22324</c:v>
                </c:pt>
              </c:numCache>
            </c:numRef>
          </c:val>
          <c:smooth val="0"/>
          <c:extLst>
            <c:ext xmlns:c16="http://schemas.microsoft.com/office/drawing/2014/chart" uri="{C3380CC4-5D6E-409C-BE32-E72D297353CC}">
              <c16:uniqueId val="{00000000-A39C-4949-A24C-03577C4CA917}"/>
            </c:ext>
          </c:extLst>
        </c:ser>
        <c:dLbls>
          <c:showLegendKey val="0"/>
          <c:showVal val="0"/>
          <c:showCatName val="0"/>
          <c:showSerName val="0"/>
          <c:showPercent val="0"/>
          <c:showBubbleSize val="0"/>
        </c:dLbls>
        <c:marker val="1"/>
        <c:smooth val="0"/>
        <c:axId val="635526496"/>
        <c:axId val="635529776"/>
      </c:lineChart>
      <c:catAx>
        <c:axId val="63552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529776"/>
        <c:crosses val="autoZero"/>
        <c:auto val="1"/>
        <c:lblAlgn val="ctr"/>
        <c:lblOffset val="100"/>
        <c:noMultiLvlLbl val="0"/>
      </c:catAx>
      <c:valAx>
        <c:axId val="635529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a-IR"/>
                  <a:t>میزان</a:t>
                </a:r>
                <a:r>
                  <a:rPr lang="fa-IR" baseline="0"/>
                  <a:t> فروش</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ر_ي_ا_ل_ ;_ * #,##0\-_ر_ي_ا_ل_ ;_ * &quot;-&quot;??_-_ر_ي_ا_ل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52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[Excel_Project_1_Sales_Dataset.xlsx]Pivot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a-IR" b="1"/>
              <a:t>سود بر اساس شهر</a:t>
            </a:r>
            <a:endParaRPr lang="en-US" b="1"/>
          </a:p>
        </c:rich>
      </c:tx>
      <c:layout>
        <c:manualLayout>
          <c:xMode val="edge"/>
          <c:yMode val="edge"/>
          <c:x val="0.3572785363854834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pieChart>
        <c:varyColors val="1"/>
        <c:ser>
          <c:idx val="0"/>
          <c:order val="0"/>
          <c:tx>
            <c:strRef>
              <c:f>'Pivot Table'!$B$11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4EF-42ED-9E3E-7BAEAB772A9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4EF-42ED-9E3E-7BAEAB772A9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4EF-42ED-9E3E-7BAEAB772A95}"/>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4EF-42ED-9E3E-7BAEAB772A95}"/>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34EF-42ED-9E3E-7BAEAB772A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Table'!$A$12:$A$17</c:f>
              <c:strCache>
                <c:ptCount val="5"/>
                <c:pt idx="0">
                  <c:v>Tehran</c:v>
                </c:pt>
                <c:pt idx="1">
                  <c:v>Shiraz</c:v>
                </c:pt>
                <c:pt idx="2">
                  <c:v>Mashhad</c:v>
                </c:pt>
                <c:pt idx="3">
                  <c:v>Tabriz</c:v>
                </c:pt>
                <c:pt idx="4">
                  <c:v>Isfahan</c:v>
                </c:pt>
              </c:strCache>
            </c:strRef>
          </c:cat>
          <c:val>
            <c:numRef>
              <c:f>'Pivot Table'!$B$12:$B$17</c:f>
              <c:numCache>
                <c:formatCode>_ * #,##0_-_ر_ي_ا_ل_ ;_ * #,##0\-_ر_ي_ا_ل_ ;_ * "-"??_-_ر_ي_ا_ل_ ;_ @_ </c:formatCode>
                <c:ptCount val="5"/>
                <c:pt idx="0">
                  <c:v>62404.909999999982</c:v>
                </c:pt>
                <c:pt idx="1">
                  <c:v>58472.689999999995</c:v>
                </c:pt>
                <c:pt idx="2">
                  <c:v>56001.840000000004</c:v>
                </c:pt>
                <c:pt idx="3">
                  <c:v>48498.029999999992</c:v>
                </c:pt>
                <c:pt idx="4">
                  <c:v>44235.060000000012</c:v>
                </c:pt>
              </c:numCache>
            </c:numRef>
          </c:val>
          <c:extLst>
            <c:ext xmlns:c16="http://schemas.microsoft.com/office/drawing/2014/chart" uri="{C3380CC4-5D6E-409C-BE32-E72D297353CC}">
              <c16:uniqueId val="{0000000A-34EF-42ED-9E3E-7BAEAB772A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830118110236223"/>
          <c:y val="0.37723242927967338"/>
          <c:w val="0.21503215223097114"/>
          <c:h val="0.52270888013998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[Excel_Project_1_Sales_Dataset.xlsx]Pivot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a-IR" b="1"/>
              <a:t>میزان فروش</a:t>
            </a:r>
            <a:r>
              <a:rPr lang="fa-IR" b="1" baseline="0"/>
              <a:t> محصولات</a:t>
            </a:r>
            <a:endParaRPr lang="en-US" b="1"/>
          </a:p>
        </c:rich>
      </c:tx>
      <c:layout>
        <c:manualLayout>
          <c:xMode val="edge"/>
          <c:yMode val="edge"/>
          <c:x val="0.37231233595800522"/>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Table'!$B$20</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City Tour</c:v>
                </c:pt>
                <c:pt idx="1">
                  <c:v>Booking A</c:v>
                </c:pt>
                <c:pt idx="2">
                  <c:v>Booking B</c:v>
                </c:pt>
                <c:pt idx="3">
                  <c:v>International</c:v>
                </c:pt>
                <c:pt idx="4">
                  <c:v>Domestic</c:v>
                </c:pt>
                <c:pt idx="5">
                  <c:v>Desert Tour</c:v>
                </c:pt>
              </c:strCache>
            </c:strRef>
          </c:cat>
          <c:val>
            <c:numRef>
              <c:f>'Pivot Table'!$B$21:$B$27</c:f>
              <c:numCache>
                <c:formatCode>_ * #,##0_-_ر_ي_ا_ل_ ;_ * #,##0\-_ر_ي_ا_ل_ ;_ * "-"??_-_ر_ي_ا_ل_ ;_ @_ </c:formatCode>
                <c:ptCount val="6"/>
                <c:pt idx="0">
                  <c:v>57321.17</c:v>
                </c:pt>
                <c:pt idx="1">
                  <c:v>54033.149999999994</c:v>
                </c:pt>
                <c:pt idx="2">
                  <c:v>44194.94</c:v>
                </c:pt>
                <c:pt idx="3">
                  <c:v>43941.43</c:v>
                </c:pt>
                <c:pt idx="4">
                  <c:v>38368.479999999989</c:v>
                </c:pt>
                <c:pt idx="5">
                  <c:v>31753.360000000008</c:v>
                </c:pt>
              </c:numCache>
            </c:numRef>
          </c:val>
          <c:extLst>
            <c:ext xmlns:c16="http://schemas.microsoft.com/office/drawing/2014/chart" uri="{C3380CC4-5D6E-409C-BE32-E72D297353CC}">
              <c16:uniqueId val="{00000000-8424-49DC-B931-BF36E6AD3B02}"/>
            </c:ext>
          </c:extLst>
        </c:ser>
        <c:dLbls>
          <c:showLegendKey val="0"/>
          <c:showVal val="1"/>
          <c:showCatName val="0"/>
          <c:showSerName val="0"/>
          <c:showPercent val="0"/>
          <c:showBubbleSize val="0"/>
        </c:dLbls>
        <c:gapWidth val="150"/>
        <c:shape val="box"/>
        <c:axId val="571043632"/>
        <c:axId val="571045600"/>
        <c:axId val="0"/>
      </c:bar3DChart>
      <c:catAx>
        <c:axId val="571043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a-IR"/>
                  <a:t>محصول</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045600"/>
        <c:crosses val="autoZero"/>
        <c:auto val="1"/>
        <c:lblAlgn val="ctr"/>
        <c:lblOffset val="100"/>
        <c:noMultiLvlLbl val="0"/>
      </c:catAx>
      <c:valAx>
        <c:axId val="571045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a-IR"/>
                  <a:t>میزان</a:t>
                </a:r>
                <a:r>
                  <a:rPr lang="fa-IR" baseline="0"/>
                  <a:t> فروش</a:t>
                </a:r>
                <a:endParaRPr lang="en-US"/>
              </a:p>
            </c:rich>
          </c:tx>
          <c:layout>
            <c:manualLayout>
              <c:xMode val="edge"/>
              <c:yMode val="edge"/>
              <c:x val="0.5285214348206474"/>
              <c:y val="0.87327391367745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ر_ي_ا_ل_ ;_ * #,##0\-_ر_ي_ا_ل_ ;_ * &quot;-&quot;??_-_ر_ي_ا_ل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04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[Excel_Project_1_Sales_Dataset.xlsx]Pivot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a-IR" sz="1400" b="1" i="0" u="none" strike="noStrike" baseline="0"/>
              <a:t>فروش بر اساس دسته‌بندی</a:t>
            </a:r>
            <a:endParaRPr lang="en-US" b="1"/>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Table'!$B$4</c:f>
              <c:strCache>
                <c:ptCount val="1"/>
                <c:pt idx="0">
                  <c:v>Total</c:v>
                </c:pt>
              </c:strCache>
            </c:strRef>
          </c:tx>
          <c:spPr>
            <a:solidFill>
              <a:schemeClr val="accent1"/>
            </a:solidFill>
            <a:ln>
              <a:noFill/>
            </a:ln>
            <a:effectLst/>
          </c:spPr>
          <c:invertIfNegative val="0"/>
          <c:cat>
            <c:strRef>
              <c:f>'Pivot Table'!$A$5:$A$8</c:f>
              <c:strCache>
                <c:ptCount val="3"/>
                <c:pt idx="0">
                  <c:v>Flight</c:v>
                </c:pt>
                <c:pt idx="1">
                  <c:v>Hotel</c:v>
                </c:pt>
                <c:pt idx="2">
                  <c:v>Tour</c:v>
                </c:pt>
              </c:strCache>
            </c:strRef>
          </c:cat>
          <c:val>
            <c:numRef>
              <c:f>'Pivot Table'!$B$5:$B$8</c:f>
              <c:numCache>
                <c:formatCode>_ * #,##0_-_ر_ي_ا_ل_ ;_ * #,##0\-_ر_ي_ا_ل_ ;_ * "-"??_-_ر_ي_ا_ل_ ;_ @_ </c:formatCode>
                <c:ptCount val="3"/>
                <c:pt idx="0">
                  <c:v>285230.5</c:v>
                </c:pt>
                <c:pt idx="1">
                  <c:v>334155</c:v>
                </c:pt>
                <c:pt idx="2">
                  <c:v>280117.5</c:v>
                </c:pt>
              </c:numCache>
            </c:numRef>
          </c:val>
          <c:extLst>
            <c:ext xmlns:c16="http://schemas.microsoft.com/office/drawing/2014/chart" uri="{C3380CC4-5D6E-409C-BE32-E72D297353CC}">
              <c16:uniqueId val="{00000000-4CF7-43EF-B6AD-CDCAE80E60E2}"/>
            </c:ext>
          </c:extLst>
        </c:ser>
        <c:dLbls>
          <c:showLegendKey val="0"/>
          <c:showVal val="0"/>
          <c:showCatName val="0"/>
          <c:showSerName val="0"/>
          <c:showPercent val="0"/>
          <c:showBubbleSize val="0"/>
        </c:dLbls>
        <c:gapWidth val="219"/>
        <c:overlap val="-27"/>
        <c:axId val="438406120"/>
        <c:axId val="438406448"/>
      </c:barChart>
      <c:catAx>
        <c:axId val="438406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a-IR" b="1"/>
                  <a:t>دسته بندی</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406448"/>
        <c:crosses val="autoZero"/>
        <c:auto val="1"/>
        <c:lblAlgn val="ctr"/>
        <c:lblOffset val="100"/>
        <c:noMultiLvlLbl val="0"/>
      </c:catAx>
      <c:valAx>
        <c:axId val="43840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a-IR" b="1"/>
                  <a:t>میزان</a:t>
                </a:r>
                <a:r>
                  <a:rPr lang="fa-IR" b="1" baseline="0"/>
                  <a:t> فروش</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 #,##0_-_ر_ي_ا_ل_ ;_ * #,##0\-_ر_ي_ا_ل_ ;_ * &quot;-&quot;??_-_ر_ي_ا_ل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406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[Excel_Project_1_Sales_Dataset.xlsx]Pivot Table!PivotTable4</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Table'!$B$30:$B$31</c:f>
              <c:strCache>
                <c:ptCount val="1"/>
                <c:pt idx="0">
                  <c:v>Booking A</c:v>
                </c:pt>
              </c:strCache>
            </c:strRef>
          </c:tx>
          <c:spPr>
            <a:solidFill>
              <a:schemeClr val="accent1"/>
            </a:solidFill>
            <a:ln>
              <a:noFill/>
            </a:ln>
            <a:effectLst/>
          </c:spPr>
          <c:invertIfNegative val="0"/>
          <c:cat>
            <c:strRef>
              <c:f>'Pivot Table'!$A$32:$A$36</c:f>
              <c:strCache>
                <c:ptCount val="4"/>
                <c:pt idx="0">
                  <c:v>Sara</c:v>
                </c:pt>
                <c:pt idx="1">
                  <c:v>Reza</c:v>
                </c:pt>
                <c:pt idx="2">
                  <c:v>Neda</c:v>
                </c:pt>
                <c:pt idx="3">
                  <c:v>Ali</c:v>
                </c:pt>
              </c:strCache>
            </c:strRef>
          </c:cat>
          <c:val>
            <c:numRef>
              <c:f>'Pivot Table'!$B$32:$B$36</c:f>
              <c:numCache>
                <c:formatCode>_ * #,##0_-_ر_ي_ا_ل_ ;_ * #,##0\-_ر_ي_ا_ل_ ;_ * "-"??_-_ر_ي_ا_ل_ ;_ @_ </c:formatCode>
                <c:ptCount val="4"/>
                <c:pt idx="0">
                  <c:v>44618.5</c:v>
                </c:pt>
                <c:pt idx="1">
                  <c:v>53182.5</c:v>
                </c:pt>
                <c:pt idx="2">
                  <c:v>38099</c:v>
                </c:pt>
                <c:pt idx="3">
                  <c:v>44525.5</c:v>
                </c:pt>
              </c:numCache>
            </c:numRef>
          </c:val>
          <c:extLst>
            <c:ext xmlns:c16="http://schemas.microsoft.com/office/drawing/2014/chart" uri="{C3380CC4-5D6E-409C-BE32-E72D297353CC}">
              <c16:uniqueId val="{00000000-A0B7-4676-9CDA-913959EECEDB}"/>
            </c:ext>
          </c:extLst>
        </c:ser>
        <c:ser>
          <c:idx val="1"/>
          <c:order val="1"/>
          <c:tx>
            <c:strRef>
              <c:f>'Pivot Table'!$C$30:$C$31</c:f>
              <c:strCache>
                <c:ptCount val="1"/>
                <c:pt idx="0">
                  <c:v>Booking B</c:v>
                </c:pt>
              </c:strCache>
            </c:strRef>
          </c:tx>
          <c:spPr>
            <a:solidFill>
              <a:schemeClr val="accent2"/>
            </a:solidFill>
            <a:ln>
              <a:noFill/>
            </a:ln>
            <a:effectLst/>
          </c:spPr>
          <c:invertIfNegative val="0"/>
          <c:cat>
            <c:strRef>
              <c:f>'Pivot Table'!$A$32:$A$36</c:f>
              <c:strCache>
                <c:ptCount val="4"/>
                <c:pt idx="0">
                  <c:v>Sara</c:v>
                </c:pt>
                <c:pt idx="1">
                  <c:v>Reza</c:v>
                </c:pt>
                <c:pt idx="2">
                  <c:v>Neda</c:v>
                </c:pt>
                <c:pt idx="3">
                  <c:v>Ali</c:v>
                </c:pt>
              </c:strCache>
            </c:strRef>
          </c:cat>
          <c:val>
            <c:numRef>
              <c:f>'Pivot Table'!$C$32:$C$36</c:f>
              <c:numCache>
                <c:formatCode>_ * #,##0_-_ر_ي_ا_ل_ ;_ * #,##0\-_ر_ي_ا_ل_ ;_ * "-"??_-_ر_ي_ا_ل_ ;_ @_ </c:formatCode>
                <c:ptCount val="4"/>
                <c:pt idx="0">
                  <c:v>33233.5</c:v>
                </c:pt>
                <c:pt idx="1">
                  <c:v>62313.5</c:v>
                </c:pt>
                <c:pt idx="2">
                  <c:v>32715</c:v>
                </c:pt>
                <c:pt idx="3">
                  <c:v>25467.5</c:v>
                </c:pt>
              </c:numCache>
            </c:numRef>
          </c:val>
          <c:extLst>
            <c:ext xmlns:c16="http://schemas.microsoft.com/office/drawing/2014/chart" uri="{C3380CC4-5D6E-409C-BE32-E72D297353CC}">
              <c16:uniqueId val="{00000001-A0B7-4676-9CDA-913959EECEDB}"/>
            </c:ext>
          </c:extLst>
        </c:ser>
        <c:ser>
          <c:idx val="2"/>
          <c:order val="2"/>
          <c:tx>
            <c:strRef>
              <c:f>'Pivot Table'!$D$30:$D$31</c:f>
              <c:strCache>
                <c:ptCount val="1"/>
                <c:pt idx="0">
                  <c:v>City Tour</c:v>
                </c:pt>
              </c:strCache>
            </c:strRef>
          </c:tx>
          <c:spPr>
            <a:solidFill>
              <a:schemeClr val="accent3"/>
            </a:solidFill>
            <a:ln>
              <a:noFill/>
            </a:ln>
            <a:effectLst/>
          </c:spPr>
          <c:invertIfNegative val="0"/>
          <c:cat>
            <c:strRef>
              <c:f>'Pivot Table'!$A$32:$A$36</c:f>
              <c:strCache>
                <c:ptCount val="4"/>
                <c:pt idx="0">
                  <c:v>Sara</c:v>
                </c:pt>
                <c:pt idx="1">
                  <c:v>Reza</c:v>
                </c:pt>
                <c:pt idx="2">
                  <c:v>Neda</c:v>
                </c:pt>
                <c:pt idx="3">
                  <c:v>Ali</c:v>
                </c:pt>
              </c:strCache>
            </c:strRef>
          </c:cat>
          <c:val>
            <c:numRef>
              <c:f>'Pivot Table'!$D$32:$D$36</c:f>
              <c:numCache>
                <c:formatCode>_ * #,##0_-_ر_ي_ا_ل_ ;_ * #,##0\-_ر_ي_ا_ل_ ;_ * "-"??_-_ر_ي_ا_ل_ ;_ @_ </c:formatCode>
                <c:ptCount val="4"/>
                <c:pt idx="0">
                  <c:v>44718</c:v>
                </c:pt>
                <c:pt idx="1">
                  <c:v>44655</c:v>
                </c:pt>
                <c:pt idx="2">
                  <c:v>34100.5</c:v>
                </c:pt>
                <c:pt idx="3">
                  <c:v>45646.5</c:v>
                </c:pt>
              </c:numCache>
            </c:numRef>
          </c:val>
          <c:extLst>
            <c:ext xmlns:c16="http://schemas.microsoft.com/office/drawing/2014/chart" uri="{C3380CC4-5D6E-409C-BE32-E72D297353CC}">
              <c16:uniqueId val="{00000002-A0B7-4676-9CDA-913959EECEDB}"/>
            </c:ext>
          </c:extLst>
        </c:ser>
        <c:ser>
          <c:idx val="3"/>
          <c:order val="3"/>
          <c:tx>
            <c:strRef>
              <c:f>'Pivot Table'!$E$30:$E$31</c:f>
              <c:strCache>
                <c:ptCount val="1"/>
                <c:pt idx="0">
                  <c:v>Desert Tour</c:v>
                </c:pt>
              </c:strCache>
            </c:strRef>
          </c:tx>
          <c:spPr>
            <a:solidFill>
              <a:schemeClr val="accent4"/>
            </a:solidFill>
            <a:ln>
              <a:noFill/>
            </a:ln>
            <a:effectLst/>
          </c:spPr>
          <c:invertIfNegative val="0"/>
          <c:cat>
            <c:strRef>
              <c:f>'Pivot Table'!$A$32:$A$36</c:f>
              <c:strCache>
                <c:ptCount val="4"/>
                <c:pt idx="0">
                  <c:v>Sara</c:v>
                </c:pt>
                <c:pt idx="1">
                  <c:v>Reza</c:v>
                </c:pt>
                <c:pt idx="2">
                  <c:v>Neda</c:v>
                </c:pt>
                <c:pt idx="3">
                  <c:v>Ali</c:v>
                </c:pt>
              </c:strCache>
            </c:strRef>
          </c:cat>
          <c:val>
            <c:numRef>
              <c:f>'Pivot Table'!$E$32:$E$36</c:f>
              <c:numCache>
                <c:formatCode>_ * #,##0_-_ر_ي_ا_ل_ ;_ * #,##0\-_ر_ي_ا_ل_ ;_ * "-"??_-_ر_ي_ا_ل_ ;_ @_ </c:formatCode>
                <c:ptCount val="4"/>
                <c:pt idx="0">
                  <c:v>49496</c:v>
                </c:pt>
                <c:pt idx="1">
                  <c:v>27702.5</c:v>
                </c:pt>
                <c:pt idx="2">
                  <c:v>23925</c:v>
                </c:pt>
                <c:pt idx="3">
                  <c:v>9874</c:v>
                </c:pt>
              </c:numCache>
            </c:numRef>
          </c:val>
          <c:extLst>
            <c:ext xmlns:c16="http://schemas.microsoft.com/office/drawing/2014/chart" uri="{C3380CC4-5D6E-409C-BE32-E72D297353CC}">
              <c16:uniqueId val="{00000003-A0B7-4676-9CDA-913959EECEDB}"/>
            </c:ext>
          </c:extLst>
        </c:ser>
        <c:ser>
          <c:idx val="4"/>
          <c:order val="4"/>
          <c:tx>
            <c:strRef>
              <c:f>'Pivot Table'!$F$30:$F$31</c:f>
              <c:strCache>
                <c:ptCount val="1"/>
                <c:pt idx="0">
                  <c:v>Domestic</c:v>
                </c:pt>
              </c:strCache>
            </c:strRef>
          </c:tx>
          <c:spPr>
            <a:solidFill>
              <a:schemeClr val="accent5"/>
            </a:solidFill>
            <a:ln>
              <a:noFill/>
            </a:ln>
            <a:effectLst/>
          </c:spPr>
          <c:invertIfNegative val="0"/>
          <c:cat>
            <c:strRef>
              <c:f>'Pivot Table'!$A$32:$A$36</c:f>
              <c:strCache>
                <c:ptCount val="4"/>
                <c:pt idx="0">
                  <c:v>Sara</c:v>
                </c:pt>
                <c:pt idx="1">
                  <c:v>Reza</c:v>
                </c:pt>
                <c:pt idx="2">
                  <c:v>Neda</c:v>
                </c:pt>
                <c:pt idx="3">
                  <c:v>Ali</c:v>
                </c:pt>
              </c:strCache>
            </c:strRef>
          </c:cat>
          <c:val>
            <c:numRef>
              <c:f>'Pivot Table'!$F$32:$F$36</c:f>
              <c:numCache>
                <c:formatCode>_ * #,##0_-_ر_ي_ا_ل_ ;_ * #,##0\-_ر_ي_ا_ل_ ;_ * "-"??_-_ر_ي_ا_ل_ ;_ @_ </c:formatCode>
                <c:ptCount val="4"/>
                <c:pt idx="0">
                  <c:v>52417</c:v>
                </c:pt>
                <c:pt idx="1">
                  <c:v>24721.5</c:v>
                </c:pt>
                <c:pt idx="2">
                  <c:v>33821</c:v>
                </c:pt>
                <c:pt idx="3">
                  <c:v>26686</c:v>
                </c:pt>
              </c:numCache>
            </c:numRef>
          </c:val>
          <c:extLst>
            <c:ext xmlns:c16="http://schemas.microsoft.com/office/drawing/2014/chart" uri="{C3380CC4-5D6E-409C-BE32-E72D297353CC}">
              <c16:uniqueId val="{00000004-A0B7-4676-9CDA-913959EECEDB}"/>
            </c:ext>
          </c:extLst>
        </c:ser>
        <c:ser>
          <c:idx val="5"/>
          <c:order val="5"/>
          <c:tx>
            <c:strRef>
              <c:f>'Pivot Table'!$G$30:$G$31</c:f>
              <c:strCache>
                <c:ptCount val="1"/>
                <c:pt idx="0">
                  <c:v>International</c:v>
                </c:pt>
              </c:strCache>
            </c:strRef>
          </c:tx>
          <c:spPr>
            <a:solidFill>
              <a:schemeClr val="accent6"/>
            </a:solidFill>
            <a:ln>
              <a:noFill/>
            </a:ln>
            <a:effectLst/>
          </c:spPr>
          <c:invertIfNegative val="0"/>
          <c:cat>
            <c:strRef>
              <c:f>'Pivot Table'!$A$32:$A$36</c:f>
              <c:strCache>
                <c:ptCount val="4"/>
                <c:pt idx="0">
                  <c:v>Sara</c:v>
                </c:pt>
                <c:pt idx="1">
                  <c:v>Reza</c:v>
                </c:pt>
                <c:pt idx="2">
                  <c:v>Neda</c:v>
                </c:pt>
                <c:pt idx="3">
                  <c:v>Ali</c:v>
                </c:pt>
              </c:strCache>
            </c:strRef>
          </c:cat>
          <c:val>
            <c:numRef>
              <c:f>'Pivot Table'!$G$32:$G$36</c:f>
              <c:numCache>
                <c:formatCode>_ * #,##0_-_ر_ي_ا_ل_ ;_ * #,##0\-_ر_ي_ا_ل_ ;_ * "-"??_-_ر_ي_ا_ل_ ;_ @_ </c:formatCode>
                <c:ptCount val="4"/>
                <c:pt idx="0">
                  <c:v>47735</c:v>
                </c:pt>
                <c:pt idx="1">
                  <c:v>45925.5</c:v>
                </c:pt>
                <c:pt idx="2">
                  <c:v>22544</c:v>
                </c:pt>
                <c:pt idx="3">
                  <c:v>31380.5</c:v>
                </c:pt>
              </c:numCache>
            </c:numRef>
          </c:val>
          <c:extLst>
            <c:ext xmlns:c16="http://schemas.microsoft.com/office/drawing/2014/chart" uri="{C3380CC4-5D6E-409C-BE32-E72D297353CC}">
              <c16:uniqueId val="{00000005-A0B7-4676-9CDA-913959EECEDB}"/>
            </c:ext>
          </c:extLst>
        </c:ser>
        <c:dLbls>
          <c:showLegendKey val="0"/>
          <c:showVal val="0"/>
          <c:showCatName val="0"/>
          <c:showSerName val="0"/>
          <c:showPercent val="0"/>
          <c:showBubbleSize val="0"/>
        </c:dLbls>
        <c:gapWidth val="219"/>
        <c:overlap val="-27"/>
        <c:axId val="574363360"/>
        <c:axId val="574359752"/>
      </c:barChart>
      <c:catAx>
        <c:axId val="57436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a-IR"/>
                  <a:t>نام</a:t>
                </a:r>
                <a:r>
                  <a:rPr lang="fa-IR" baseline="0"/>
                  <a:t> فروشنده</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59752"/>
        <c:crosses val="autoZero"/>
        <c:auto val="1"/>
        <c:lblAlgn val="ctr"/>
        <c:lblOffset val="100"/>
        <c:noMultiLvlLbl val="0"/>
      </c:catAx>
      <c:valAx>
        <c:axId val="574359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a-IR"/>
                  <a:t>میران فروش</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ر_ي_ا_ل_ ;_ * #,##0\-_ر_ي_ا_ل_ ;_ * &quot;-&quot;??_-_ر_ي_ا_ل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6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52388</xdr:colOff>
      <xdr:row>7</xdr:row>
      <xdr:rowOff>4763</xdr:rowOff>
    </xdr:from>
    <xdr:to>
      <xdr:col>8</xdr:col>
      <xdr:colOff>557213</xdr:colOff>
      <xdr:row>21</xdr:row>
      <xdr:rowOff>138546</xdr:rowOff>
    </xdr:to>
    <xdr:graphicFrame macro="">
      <xdr:nvGraphicFramePr>
        <xdr:cNvPr id="3" name="Chart 2">
          <a:extLst>
            <a:ext uri="{FF2B5EF4-FFF2-40B4-BE49-F238E27FC236}">
              <a16:creationId xmlns:a16="http://schemas.microsoft.com/office/drawing/2014/main" id="{3A6F8A88-48BC-4C41-9187-7769450D8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61912</xdr:colOff>
      <xdr:row>21</xdr:row>
      <xdr:rowOff>166688</xdr:rowOff>
    </xdr:from>
    <xdr:to>
      <xdr:col>8</xdr:col>
      <xdr:colOff>552450</xdr:colOff>
      <xdr:row>37</xdr:row>
      <xdr:rowOff>14288</xdr:rowOff>
    </xdr:to>
    <xdr:graphicFrame macro="">
      <xdr:nvGraphicFramePr>
        <xdr:cNvPr id="4" name="Chart 3">
          <a:extLst>
            <a:ext uri="{FF2B5EF4-FFF2-40B4-BE49-F238E27FC236}">
              <a16:creationId xmlns:a16="http://schemas.microsoft.com/office/drawing/2014/main" id="{9DC39822-55FD-4CDB-BFB4-E814DF3FA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571500</xdr:colOff>
      <xdr:row>25</xdr:row>
      <xdr:rowOff>157162</xdr:rowOff>
    </xdr:from>
    <xdr:to>
      <xdr:col>13</xdr:col>
      <xdr:colOff>1081089</xdr:colOff>
      <xdr:row>37</xdr:row>
      <xdr:rowOff>8658</xdr:rowOff>
    </xdr:to>
    <xdr:graphicFrame macro="">
      <xdr:nvGraphicFramePr>
        <xdr:cNvPr id="6" name="Chart 5">
          <a:extLst>
            <a:ext uri="{FF2B5EF4-FFF2-40B4-BE49-F238E27FC236}">
              <a16:creationId xmlns:a16="http://schemas.microsoft.com/office/drawing/2014/main" id="{1B382FA6-2DD0-4DD2-A399-3EC6AB0E6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593147</xdr:colOff>
      <xdr:row>10</xdr:row>
      <xdr:rowOff>43296</xdr:rowOff>
    </xdr:from>
    <xdr:to>
      <xdr:col>11</xdr:col>
      <xdr:colOff>454583</xdr:colOff>
      <xdr:row>25</xdr:row>
      <xdr:rowOff>129885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54CA31EA-FE2B-4C4C-A7EE-2FAA2019DCA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838825" y="1914525"/>
              <a:ext cx="1828800" cy="2709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458931</xdr:colOff>
      <xdr:row>10</xdr:row>
      <xdr:rowOff>47625</xdr:rowOff>
    </xdr:from>
    <xdr:to>
      <xdr:col>14</xdr:col>
      <xdr:colOff>4330</xdr:colOff>
      <xdr:row>18</xdr:row>
      <xdr:rowOff>90489</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5523AF5F-EF58-4EDC-B36B-CD3258DC337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905750" y="1905001"/>
              <a:ext cx="1828800" cy="1443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467590</xdr:colOff>
      <xdr:row>18</xdr:row>
      <xdr:rowOff>116898</xdr:rowOff>
    </xdr:from>
    <xdr:to>
      <xdr:col>14</xdr:col>
      <xdr:colOff>2717</xdr:colOff>
      <xdr:row>25</xdr:row>
      <xdr:rowOff>127446</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EC7A86D5-7A74-4006-96D5-28677D8934F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29563" y="3400427"/>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64943</xdr:colOff>
      <xdr:row>37</xdr:row>
      <xdr:rowOff>34636</xdr:rowOff>
    </xdr:from>
    <xdr:to>
      <xdr:col>13</xdr:col>
      <xdr:colOff>1086716</xdr:colOff>
      <xdr:row>52</xdr:row>
      <xdr:rowOff>50224</xdr:rowOff>
    </xdr:to>
    <xdr:graphicFrame macro="">
      <xdr:nvGraphicFramePr>
        <xdr:cNvPr id="10" name="Chart 9">
          <a:extLst>
            <a:ext uri="{FF2B5EF4-FFF2-40B4-BE49-F238E27FC236}">
              <a16:creationId xmlns:a16="http://schemas.microsoft.com/office/drawing/2014/main" id="{1F8461FC-4DA6-437D-9D37-11C80522B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602455</xdr:colOff>
      <xdr:row>37</xdr:row>
      <xdr:rowOff>126207</xdr:rowOff>
    </xdr:from>
    <xdr:to>
      <xdr:col>8</xdr:col>
      <xdr:colOff>288130</xdr:colOff>
      <xdr:row>52</xdr:row>
      <xdr:rowOff>154782</xdr:rowOff>
    </xdr:to>
    <xdr:graphicFrame macro="">
      <xdr:nvGraphicFramePr>
        <xdr:cNvPr id="5" name="Chart 4">
          <a:extLst>
            <a:ext uri="{FF2B5EF4-FFF2-40B4-BE49-F238E27FC236}">
              <a16:creationId xmlns:a16="http://schemas.microsoft.com/office/drawing/2014/main" id="{CABBBD55-BB9C-4E35-B6D4-E650B16DA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nect System" refreshedDate="46238.819732638891" createdVersion="6" refreshedVersion="6" minRefreshableVersion="3" recordCount="300" xr:uid="{9DD5AF99-F854-4A40-A766-092324A72E68}">
  <cacheSource type="worksheet">
    <worksheetSource name="Table1"/>
  </cacheSource>
  <cacheFields count="20">
    <cacheField name="OrderID" numFmtId="0">
      <sharedItems containsSemiMixedTypes="0" containsString="0" containsNumber="1" containsInteger="1" minValue="1001" maxValue="1300"/>
    </cacheField>
    <cacheField name="OrderDate" numFmtId="164">
      <sharedItems containsSemiMixedTypes="0" containsNonDate="0" containsDate="1" containsString="0" minDate="2025-09-10T00:00:00" maxDate="2026-07-07T00:00:00" count="3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sharedItems>
      <fieldGroup par="19" base="1">
        <rangePr groupBy="months" startDate="2025-09-10T00:00:00" endDate="2026-07-07T00:00:00"/>
        <groupItems count="14">
          <s v="&lt;2025/09/10"/>
          <s v="ژانويه"/>
          <s v="فوريه"/>
          <s v="مارس"/>
          <s v="آوريل"/>
          <s v="مه"/>
          <s v="ژوئن"/>
          <s v="ژوئيه"/>
          <s v="اوت"/>
          <s v="سپتامبر"/>
          <s v="اُكتبر"/>
          <s v="نوامبر"/>
          <s v="دسامبر"/>
          <s v="&gt;2026/07/07"/>
        </groupItems>
      </fieldGroup>
    </cacheField>
    <cacheField name="Customer" numFmtId="0">
      <sharedItems/>
    </cacheField>
    <cacheField name="City" numFmtId="0">
      <sharedItems count="5">
        <s v="Tehran"/>
        <s v="Mashhad"/>
        <s v="Isfahan"/>
        <s v="Shiraz"/>
        <s v="Tabriz"/>
      </sharedItems>
    </cacheField>
    <cacheField name="Salesperson" numFmtId="0">
      <sharedItems count="4">
        <s v="Sara"/>
        <s v="Neda"/>
        <s v="Ali"/>
        <s v="Reza"/>
      </sharedItems>
    </cacheField>
    <cacheField name="Category" numFmtId="0">
      <sharedItems count="3">
        <s v="Hotel"/>
        <s v="Flight"/>
        <s v="Tour"/>
      </sharedItems>
    </cacheField>
    <cacheField name="Product" numFmtId="0">
      <sharedItems count="6">
        <s v="Booking B"/>
        <s v="Domestic"/>
        <s v="City Tour"/>
        <s v="Desert Tour"/>
        <s v="Booking A"/>
        <s v="International"/>
      </sharedItems>
    </cacheField>
    <cacheField name="Quantity" numFmtId="0">
      <sharedItems containsSemiMixedTypes="0" containsString="0" containsNumber="1" containsInteger="1" minValue="1" maxValue="5"/>
    </cacheField>
    <cacheField name="UnitPrice" numFmtId="165">
      <sharedItems containsSemiMixedTypes="0" containsString="0" containsNumber="1" containsInteger="1" minValue="210" maxValue="2000"/>
    </cacheField>
    <cacheField name="Discount" numFmtId="0">
      <sharedItems containsSemiMixedTypes="0" containsString="0" containsNumber="1" minValue="0" maxValue="0.15"/>
    </cacheField>
    <cacheField name="Revenue" numFmtId="165">
      <sharedItems containsSemiMixedTypes="0" containsString="0" containsNumber="1" minValue="187" maxValue="9300"/>
    </cacheField>
    <cacheField name="Cost" numFmtId="165">
      <sharedItems containsSemiMixedTypes="0" containsString="0" containsNumber="1" minValue="123.22" maxValue="7340.44"/>
    </cacheField>
    <cacheField name="Profit" numFmtId="165">
      <sharedItems containsSemiMixedTypes="0" containsString="0" containsNumber="1" minValue="45.52" maxValue="3545.76"/>
    </cacheField>
    <cacheField name="PaymentMethod" numFmtId="0">
      <sharedItems/>
    </cacheField>
    <cacheField name="سود کل" numFmtId="0">
      <sharedItems containsString="0" containsBlank="1" containsNumber="1" minValue="269612.52999999991" maxValue="269612.52999999991"/>
    </cacheField>
    <cacheField name="sales " numFmtId="0">
      <sharedItems containsString="0" containsBlank="1" containsNumber="1" containsInteger="1" minValue="899503" maxValue="899503"/>
    </cacheField>
    <cacheField name="Column1" numFmtId="0">
      <sharedItems containsString="0" containsBlank="1" containsNumber="1" minValue="2998.3433333333332" maxValue="2998.3433333333332"/>
    </cacheField>
    <cacheField name="Column2" numFmtId="0">
      <sharedItems containsBlank="1"/>
    </cacheField>
    <cacheField name="Quarters" numFmtId="0" databaseField="0">
      <fieldGroup base="1">
        <rangePr groupBy="quarters" startDate="2025-09-10T00:00:00" endDate="2026-07-07T00:00:00"/>
        <groupItems count="6">
          <s v="&lt;2025/09/10"/>
          <s v="Qtr1"/>
          <s v="Qtr2"/>
          <s v="Qtr3"/>
          <s v="Qtr4"/>
          <s v="&gt;2026/07/07"/>
        </groupItems>
      </fieldGroup>
    </cacheField>
    <cacheField name="Years" numFmtId="0" databaseField="0">
      <fieldGroup base="1">
        <rangePr groupBy="years" startDate="2025-09-10T00:00:00" endDate="2026-07-07T00:00:00"/>
        <groupItems count="4">
          <s v="&lt;2025/09/10"/>
          <s v="2025"/>
          <s v="2026"/>
          <s v="&gt;2026/07/07"/>
        </groupItems>
      </fieldGroup>
    </cacheField>
  </cacheFields>
  <extLst>
    <ext xmlns:x14="http://schemas.microsoft.com/office/spreadsheetml/2009/9/main" uri="{725AE2AE-9491-48be-B2B4-4EB974FC3084}">
      <x14:pivotCacheDefinition pivotCacheId="55261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x v="0"/>
    <s v="Customer 69"/>
    <x v="0"/>
    <x v="0"/>
    <x v="0"/>
    <x v="0"/>
    <n v="2"/>
    <n v="2000"/>
    <n v="0"/>
    <n v="4000"/>
    <n v="4000"/>
    <n v="836.76"/>
    <s v="Online"/>
    <n v="269612.52999999991"/>
    <n v="899503"/>
    <n v="2998.3433333333332"/>
    <s v=" "/>
  </r>
  <r>
    <n v="1002"/>
    <x v="1"/>
    <s v="Customer 68"/>
    <x v="1"/>
    <x v="0"/>
    <x v="0"/>
    <x v="0"/>
    <n v="4"/>
    <n v="1040"/>
    <n v="0.05"/>
    <n v="3952"/>
    <n v="3447.15"/>
    <n v="504.85"/>
    <s v="Online"/>
    <m/>
    <m/>
    <m/>
    <m/>
  </r>
  <r>
    <n v="1003"/>
    <x v="2"/>
    <s v="Customer 36"/>
    <x v="2"/>
    <x v="1"/>
    <x v="1"/>
    <x v="1"/>
    <n v="4"/>
    <n v="210"/>
    <n v="0"/>
    <n v="840"/>
    <n v="445.64"/>
    <n v="394.36"/>
    <s v="Online"/>
    <m/>
    <m/>
    <m/>
    <m/>
  </r>
  <r>
    <n v="1004"/>
    <x v="3"/>
    <s v="Customer 10"/>
    <x v="3"/>
    <x v="2"/>
    <x v="2"/>
    <x v="2"/>
    <n v="4"/>
    <n v="1870"/>
    <n v="0.05"/>
    <n v="7106"/>
    <n v="3560.24"/>
    <n v="3545.76"/>
    <s v="Card"/>
    <m/>
    <m/>
    <m/>
    <m/>
  </r>
  <r>
    <n v="1005"/>
    <x v="4"/>
    <s v="Customer 15"/>
    <x v="3"/>
    <x v="0"/>
    <x v="1"/>
    <x v="1"/>
    <n v="1"/>
    <n v="1650"/>
    <n v="0.1"/>
    <n v="1485"/>
    <n v="1274.71"/>
    <n v="210.29"/>
    <s v="Cash"/>
    <m/>
    <m/>
    <m/>
    <m/>
  </r>
  <r>
    <n v="1006"/>
    <x v="5"/>
    <s v="Customer 44"/>
    <x v="0"/>
    <x v="2"/>
    <x v="1"/>
    <x v="1"/>
    <n v="5"/>
    <n v="1290"/>
    <n v="0.15"/>
    <n v="5482.5"/>
    <n v="4859.2"/>
    <n v="623.29999999999995"/>
    <s v="Online"/>
    <m/>
    <m/>
    <m/>
    <m/>
  </r>
  <r>
    <n v="1007"/>
    <x v="6"/>
    <s v="Customer 60"/>
    <x v="0"/>
    <x v="2"/>
    <x v="2"/>
    <x v="3"/>
    <n v="3"/>
    <n v="1070"/>
    <n v="0.05"/>
    <n v="3049.5"/>
    <n v="2573.6799999999998"/>
    <n v="475.82"/>
    <s v="Online"/>
    <m/>
    <m/>
    <m/>
    <m/>
  </r>
  <r>
    <n v="1008"/>
    <x v="7"/>
    <s v="Customer 28"/>
    <x v="3"/>
    <x v="2"/>
    <x v="1"/>
    <x v="1"/>
    <n v="1"/>
    <n v="220"/>
    <n v="0.15"/>
    <n v="187"/>
    <n v="141.47999999999999"/>
    <n v="45.52"/>
    <s v="Online"/>
    <m/>
    <m/>
    <m/>
    <m/>
  </r>
  <r>
    <n v="1009"/>
    <x v="8"/>
    <s v="Customer 56"/>
    <x v="4"/>
    <x v="1"/>
    <x v="0"/>
    <x v="0"/>
    <n v="3"/>
    <n v="1100"/>
    <n v="0.05"/>
    <n v="3135"/>
    <n v="1845.69"/>
    <n v="1289.31"/>
    <s v="Card"/>
    <m/>
    <m/>
    <m/>
    <m/>
  </r>
  <r>
    <n v="1010"/>
    <x v="9"/>
    <s v="Customer 58"/>
    <x v="1"/>
    <x v="3"/>
    <x v="0"/>
    <x v="0"/>
    <n v="2"/>
    <n v="510"/>
    <n v="0.15"/>
    <n v="867"/>
    <n v="445.79"/>
    <n v="421.21"/>
    <s v="Card"/>
    <m/>
    <m/>
    <m/>
    <m/>
  </r>
  <r>
    <n v="1011"/>
    <x v="10"/>
    <s v="Customer 1"/>
    <x v="1"/>
    <x v="3"/>
    <x v="0"/>
    <x v="4"/>
    <n v="2"/>
    <n v="1030"/>
    <n v="0.15"/>
    <n v="1751"/>
    <n v="926.98"/>
    <n v="824.02"/>
    <s v="Online"/>
    <m/>
    <m/>
    <m/>
    <m/>
  </r>
  <r>
    <n v="1012"/>
    <x v="11"/>
    <s v="Customer 36"/>
    <x v="1"/>
    <x v="0"/>
    <x v="1"/>
    <x v="5"/>
    <n v="5"/>
    <n v="1550"/>
    <n v="0.15"/>
    <n v="6587.5"/>
    <n v="3975.96"/>
    <n v="2611.54"/>
    <s v="Cash"/>
    <m/>
    <m/>
    <m/>
    <m/>
  </r>
  <r>
    <n v="1013"/>
    <x v="12"/>
    <s v="Customer 60"/>
    <x v="1"/>
    <x v="2"/>
    <x v="0"/>
    <x v="4"/>
    <n v="4"/>
    <n v="1930"/>
    <n v="0"/>
    <n v="7720"/>
    <n v="6253.34"/>
    <n v="1466.66"/>
    <s v="Cash"/>
    <m/>
    <m/>
    <m/>
    <m/>
  </r>
  <r>
    <n v="1014"/>
    <x v="13"/>
    <s v="Customer 54"/>
    <x v="0"/>
    <x v="2"/>
    <x v="0"/>
    <x v="4"/>
    <n v="3"/>
    <n v="970"/>
    <n v="0.15"/>
    <n v="2473.5"/>
    <n v="1519.42"/>
    <n v="954.08"/>
    <s v="Card"/>
    <m/>
    <m/>
    <m/>
    <m/>
  </r>
  <r>
    <n v="1015"/>
    <x v="14"/>
    <s v="Customer 53"/>
    <x v="4"/>
    <x v="1"/>
    <x v="2"/>
    <x v="2"/>
    <n v="1"/>
    <n v="240"/>
    <n v="0"/>
    <n v="240"/>
    <n v="160.34"/>
    <n v="79.66"/>
    <s v="Cash"/>
    <m/>
    <m/>
    <m/>
    <m/>
  </r>
  <r>
    <n v="1016"/>
    <x v="15"/>
    <s v="Customer 32"/>
    <x v="2"/>
    <x v="3"/>
    <x v="0"/>
    <x v="0"/>
    <n v="3"/>
    <n v="1560"/>
    <n v="0.15"/>
    <n v="3978"/>
    <n v="2876.34"/>
    <n v="1101.6600000000001"/>
    <s v="Online"/>
    <m/>
    <m/>
    <m/>
    <m/>
  </r>
  <r>
    <n v="1017"/>
    <x v="16"/>
    <s v="Customer 13"/>
    <x v="0"/>
    <x v="2"/>
    <x v="1"/>
    <x v="1"/>
    <n v="4"/>
    <n v="820"/>
    <n v="0.15"/>
    <n v="2788"/>
    <n v="2150.02"/>
    <n v="637.98"/>
    <s v="Card"/>
    <m/>
    <m/>
    <m/>
    <m/>
  </r>
  <r>
    <n v="1018"/>
    <x v="17"/>
    <s v="Customer 80"/>
    <x v="3"/>
    <x v="0"/>
    <x v="1"/>
    <x v="5"/>
    <n v="2"/>
    <n v="1410"/>
    <n v="0"/>
    <n v="2820"/>
    <n v="2433.0300000000002"/>
    <n v="386.97"/>
    <s v="Online"/>
    <m/>
    <m/>
    <m/>
    <m/>
  </r>
  <r>
    <n v="1019"/>
    <x v="18"/>
    <s v="Customer 56"/>
    <x v="3"/>
    <x v="1"/>
    <x v="0"/>
    <x v="0"/>
    <n v="2"/>
    <n v="1130"/>
    <n v="0.15"/>
    <n v="1921"/>
    <n v="1597.36"/>
    <n v="323.64"/>
    <s v="Online"/>
    <m/>
    <m/>
    <m/>
    <m/>
  </r>
  <r>
    <n v="1020"/>
    <x v="19"/>
    <s v="Customer 42"/>
    <x v="3"/>
    <x v="1"/>
    <x v="2"/>
    <x v="3"/>
    <n v="5"/>
    <n v="1760"/>
    <n v="0.15"/>
    <n v="7480"/>
    <n v="4866.03"/>
    <n v="2613.9699999999998"/>
    <s v="Online"/>
    <m/>
    <m/>
    <m/>
    <m/>
  </r>
  <r>
    <n v="1021"/>
    <x v="20"/>
    <s v="Customer 54"/>
    <x v="3"/>
    <x v="2"/>
    <x v="2"/>
    <x v="2"/>
    <n v="5"/>
    <n v="1970"/>
    <n v="0.15"/>
    <n v="8372.5"/>
    <n v="5991.11"/>
    <n v="2381.39"/>
    <s v="Card"/>
    <m/>
    <m/>
    <m/>
    <m/>
  </r>
  <r>
    <n v="1022"/>
    <x v="21"/>
    <s v="Customer 55"/>
    <x v="3"/>
    <x v="2"/>
    <x v="0"/>
    <x v="0"/>
    <n v="5"/>
    <n v="1490"/>
    <n v="0.1"/>
    <n v="6705"/>
    <n v="4697.5200000000004"/>
    <n v="2007.48"/>
    <s v="Cash"/>
    <m/>
    <m/>
    <m/>
    <m/>
  </r>
  <r>
    <n v="1023"/>
    <x v="22"/>
    <s v="Customer 48"/>
    <x v="1"/>
    <x v="1"/>
    <x v="0"/>
    <x v="0"/>
    <n v="2"/>
    <n v="640"/>
    <n v="0.15"/>
    <n v="1088"/>
    <n v="832.13"/>
    <n v="255.87"/>
    <s v="Online"/>
    <m/>
    <m/>
    <m/>
    <m/>
  </r>
  <r>
    <n v="1024"/>
    <x v="23"/>
    <s v="Customer 20"/>
    <x v="0"/>
    <x v="2"/>
    <x v="1"/>
    <x v="1"/>
    <n v="4"/>
    <n v="1510"/>
    <n v="0.1"/>
    <n v="5436"/>
    <n v="3105.12"/>
    <n v="2330.88"/>
    <s v="Card"/>
    <m/>
    <m/>
    <m/>
    <m/>
  </r>
  <r>
    <n v="1025"/>
    <x v="24"/>
    <s v="Customer 64"/>
    <x v="1"/>
    <x v="2"/>
    <x v="2"/>
    <x v="3"/>
    <n v="4"/>
    <n v="290"/>
    <n v="0.1"/>
    <n v="1044"/>
    <n v="664.01"/>
    <n v="379.99"/>
    <s v="Card"/>
    <m/>
    <m/>
    <m/>
    <m/>
  </r>
  <r>
    <n v="1026"/>
    <x v="25"/>
    <s v="Customer 26"/>
    <x v="3"/>
    <x v="0"/>
    <x v="0"/>
    <x v="4"/>
    <n v="1"/>
    <n v="1650"/>
    <n v="0.05"/>
    <n v="1567.5"/>
    <n v="1349.33"/>
    <n v="218.17"/>
    <s v="Online"/>
    <m/>
    <m/>
    <m/>
    <m/>
  </r>
  <r>
    <n v="1027"/>
    <x v="26"/>
    <s v="Customer 36"/>
    <x v="3"/>
    <x v="0"/>
    <x v="1"/>
    <x v="5"/>
    <n v="2"/>
    <n v="560"/>
    <n v="0.1"/>
    <n v="1008"/>
    <n v="601.16"/>
    <n v="406.84"/>
    <s v="Cash"/>
    <m/>
    <m/>
    <m/>
    <m/>
  </r>
  <r>
    <n v="1028"/>
    <x v="27"/>
    <s v="Customer 15"/>
    <x v="4"/>
    <x v="1"/>
    <x v="2"/>
    <x v="3"/>
    <n v="1"/>
    <n v="1380"/>
    <n v="0.05"/>
    <n v="1311"/>
    <n v="882.61"/>
    <n v="428.39"/>
    <s v="Online"/>
    <m/>
    <m/>
    <m/>
    <m/>
  </r>
  <r>
    <n v="1029"/>
    <x v="28"/>
    <s v="Customer 41"/>
    <x v="1"/>
    <x v="0"/>
    <x v="2"/>
    <x v="3"/>
    <n v="3"/>
    <n v="1870"/>
    <n v="0"/>
    <n v="5610"/>
    <n v="3352.08"/>
    <n v="2257.92"/>
    <s v="Online"/>
    <m/>
    <m/>
    <m/>
    <m/>
  </r>
  <r>
    <n v="1030"/>
    <x v="29"/>
    <s v="Customer 13"/>
    <x v="3"/>
    <x v="1"/>
    <x v="2"/>
    <x v="2"/>
    <n v="5"/>
    <n v="1030"/>
    <n v="0.15"/>
    <n v="4377.5"/>
    <n v="2420.9"/>
    <n v="1956.6"/>
    <s v="Cash"/>
    <m/>
    <m/>
    <m/>
    <m/>
  </r>
  <r>
    <n v="1031"/>
    <x v="30"/>
    <s v="Customer 8"/>
    <x v="2"/>
    <x v="3"/>
    <x v="0"/>
    <x v="0"/>
    <n v="5"/>
    <n v="760"/>
    <n v="0.05"/>
    <n v="3610"/>
    <n v="2104.8200000000002"/>
    <n v="1505.18"/>
    <s v="Card"/>
    <m/>
    <m/>
    <m/>
    <m/>
  </r>
  <r>
    <n v="1032"/>
    <x v="31"/>
    <s v="Customer 4"/>
    <x v="4"/>
    <x v="3"/>
    <x v="0"/>
    <x v="4"/>
    <n v="1"/>
    <n v="230"/>
    <n v="0.1"/>
    <n v="207"/>
    <n v="123.22"/>
    <n v="83.78"/>
    <s v="Online"/>
    <m/>
    <m/>
    <m/>
    <m/>
  </r>
  <r>
    <n v="1033"/>
    <x v="32"/>
    <s v="Customer 1"/>
    <x v="3"/>
    <x v="3"/>
    <x v="1"/>
    <x v="5"/>
    <n v="3"/>
    <n v="1340"/>
    <n v="0.1"/>
    <n v="3618"/>
    <n v="3253.3"/>
    <n v="364.7"/>
    <s v="Online"/>
    <m/>
    <m/>
    <m/>
    <m/>
  </r>
  <r>
    <n v="1034"/>
    <x v="33"/>
    <s v="Customer 42"/>
    <x v="4"/>
    <x v="2"/>
    <x v="2"/>
    <x v="2"/>
    <n v="4"/>
    <n v="260"/>
    <n v="0"/>
    <n v="1040"/>
    <n v="792.14"/>
    <n v="247.86"/>
    <s v="Online"/>
    <m/>
    <m/>
    <m/>
    <m/>
  </r>
  <r>
    <n v="1035"/>
    <x v="34"/>
    <s v="Customer 68"/>
    <x v="0"/>
    <x v="3"/>
    <x v="2"/>
    <x v="2"/>
    <n v="3"/>
    <n v="1040"/>
    <n v="0.1"/>
    <n v="2808"/>
    <n v="1756.86"/>
    <n v="1051.1400000000001"/>
    <s v="Online"/>
    <m/>
    <m/>
    <m/>
    <m/>
  </r>
  <r>
    <n v="1036"/>
    <x v="35"/>
    <s v="Customer 20"/>
    <x v="2"/>
    <x v="0"/>
    <x v="2"/>
    <x v="3"/>
    <n v="4"/>
    <n v="920"/>
    <n v="0.05"/>
    <n v="3496"/>
    <n v="2967.21"/>
    <n v="528.79"/>
    <s v="Cash"/>
    <m/>
    <m/>
    <m/>
    <m/>
  </r>
  <r>
    <n v="1037"/>
    <x v="36"/>
    <s v="Customer 12"/>
    <x v="4"/>
    <x v="1"/>
    <x v="0"/>
    <x v="0"/>
    <n v="5"/>
    <n v="1730"/>
    <n v="0.1"/>
    <n v="7785"/>
    <n v="6673.88"/>
    <n v="1111.1199999999999"/>
    <s v="Cash"/>
    <m/>
    <m/>
    <m/>
    <m/>
  </r>
  <r>
    <n v="1038"/>
    <x v="37"/>
    <s v="Customer 1"/>
    <x v="0"/>
    <x v="3"/>
    <x v="1"/>
    <x v="5"/>
    <n v="2"/>
    <n v="1730"/>
    <n v="0.05"/>
    <n v="3287"/>
    <n v="2029.13"/>
    <n v="1257.8699999999999"/>
    <s v="Online"/>
    <m/>
    <m/>
    <m/>
    <m/>
  </r>
  <r>
    <n v="1039"/>
    <x v="38"/>
    <s v="Customer 8"/>
    <x v="3"/>
    <x v="0"/>
    <x v="2"/>
    <x v="3"/>
    <n v="5"/>
    <n v="430"/>
    <n v="0.1"/>
    <n v="1935"/>
    <n v="1221.1199999999999"/>
    <n v="713.88"/>
    <s v="Online"/>
    <m/>
    <m/>
    <m/>
    <m/>
  </r>
  <r>
    <n v="1040"/>
    <x v="39"/>
    <s v="Customer 40"/>
    <x v="2"/>
    <x v="3"/>
    <x v="0"/>
    <x v="4"/>
    <n v="2"/>
    <n v="580"/>
    <n v="0.05"/>
    <n v="1102"/>
    <n v="928.62"/>
    <n v="173.38"/>
    <s v="Cash"/>
    <m/>
    <m/>
    <m/>
    <m/>
  </r>
  <r>
    <n v="1041"/>
    <x v="40"/>
    <s v="Customer 27"/>
    <x v="1"/>
    <x v="0"/>
    <x v="0"/>
    <x v="4"/>
    <n v="5"/>
    <n v="1980"/>
    <n v="0.1"/>
    <n v="8910"/>
    <n v="7340.44"/>
    <n v="1569.56"/>
    <s v="Cash"/>
    <m/>
    <m/>
    <m/>
    <m/>
  </r>
  <r>
    <n v="1042"/>
    <x v="41"/>
    <s v="Customer 24"/>
    <x v="1"/>
    <x v="0"/>
    <x v="1"/>
    <x v="5"/>
    <n v="5"/>
    <n v="1860"/>
    <n v="0"/>
    <n v="9300"/>
    <n v="6142.59"/>
    <n v="3157.41"/>
    <s v="Card"/>
    <m/>
    <m/>
    <m/>
    <m/>
  </r>
  <r>
    <n v="1043"/>
    <x v="42"/>
    <s v="Customer 50"/>
    <x v="1"/>
    <x v="2"/>
    <x v="0"/>
    <x v="4"/>
    <n v="3"/>
    <n v="1360"/>
    <n v="0.1"/>
    <n v="3672"/>
    <n v="2502.98"/>
    <n v="1169.02"/>
    <s v="Online"/>
    <m/>
    <m/>
    <m/>
    <m/>
  </r>
  <r>
    <n v="1044"/>
    <x v="43"/>
    <s v="Customer 64"/>
    <x v="2"/>
    <x v="3"/>
    <x v="0"/>
    <x v="0"/>
    <n v="5"/>
    <n v="1730"/>
    <n v="0.1"/>
    <n v="7785"/>
    <n v="4515.8999999999996"/>
    <n v="3269.1"/>
    <s v="Online"/>
    <m/>
    <m/>
    <m/>
    <m/>
  </r>
  <r>
    <n v="1045"/>
    <x v="44"/>
    <s v="Customer 58"/>
    <x v="1"/>
    <x v="1"/>
    <x v="1"/>
    <x v="1"/>
    <n v="1"/>
    <n v="1390"/>
    <n v="0.05"/>
    <n v="1320.5"/>
    <n v="969.94"/>
    <n v="350.56"/>
    <s v="Cash"/>
    <m/>
    <m/>
    <m/>
    <m/>
  </r>
  <r>
    <n v="1046"/>
    <x v="45"/>
    <s v="Customer 79"/>
    <x v="3"/>
    <x v="3"/>
    <x v="0"/>
    <x v="0"/>
    <n v="4"/>
    <n v="970"/>
    <n v="0.05"/>
    <n v="3686"/>
    <n v="2519.4899999999998"/>
    <n v="1166.51"/>
    <s v="Card"/>
    <m/>
    <m/>
    <m/>
    <m/>
  </r>
  <r>
    <n v="1047"/>
    <x v="46"/>
    <s v="Customer 44"/>
    <x v="3"/>
    <x v="0"/>
    <x v="2"/>
    <x v="2"/>
    <n v="1"/>
    <n v="1340"/>
    <n v="0.15"/>
    <n v="1139"/>
    <n v="838.88"/>
    <n v="300.12"/>
    <s v="Card"/>
    <m/>
    <m/>
    <m/>
    <m/>
  </r>
  <r>
    <n v="1048"/>
    <x v="47"/>
    <s v="Customer 33"/>
    <x v="2"/>
    <x v="2"/>
    <x v="1"/>
    <x v="1"/>
    <n v="3"/>
    <n v="410"/>
    <n v="0.15"/>
    <n v="1045.5"/>
    <n v="736.83"/>
    <n v="308.67"/>
    <s v="Cash"/>
    <m/>
    <m/>
    <m/>
    <m/>
  </r>
  <r>
    <n v="1049"/>
    <x v="48"/>
    <s v="Customer 38"/>
    <x v="0"/>
    <x v="1"/>
    <x v="2"/>
    <x v="2"/>
    <n v="3"/>
    <n v="1820"/>
    <n v="0.1"/>
    <n v="4914"/>
    <n v="2748.81"/>
    <n v="2165.19"/>
    <s v="Card"/>
    <m/>
    <m/>
    <m/>
    <m/>
  </r>
  <r>
    <n v="1050"/>
    <x v="49"/>
    <s v="Customer 76"/>
    <x v="2"/>
    <x v="0"/>
    <x v="2"/>
    <x v="2"/>
    <n v="2"/>
    <n v="1900"/>
    <n v="0.1"/>
    <n v="3420"/>
    <n v="2233.7800000000002"/>
    <n v="1186.22"/>
    <s v="Cash"/>
    <m/>
    <m/>
    <m/>
    <m/>
  </r>
  <r>
    <n v="1051"/>
    <x v="50"/>
    <s v="Customer 38"/>
    <x v="4"/>
    <x v="1"/>
    <x v="2"/>
    <x v="3"/>
    <n v="5"/>
    <n v="320"/>
    <n v="0.15"/>
    <n v="1360"/>
    <n v="688.19"/>
    <n v="671.81"/>
    <s v="Card"/>
    <m/>
    <m/>
    <m/>
    <m/>
  </r>
  <r>
    <n v="1052"/>
    <x v="51"/>
    <s v="Customer 6"/>
    <x v="0"/>
    <x v="3"/>
    <x v="2"/>
    <x v="3"/>
    <n v="2"/>
    <n v="1150"/>
    <n v="0"/>
    <n v="2300"/>
    <n v="1557.27"/>
    <n v="742.73"/>
    <s v="Online"/>
    <m/>
    <m/>
    <m/>
    <m/>
  </r>
  <r>
    <n v="1053"/>
    <x v="52"/>
    <s v="Customer 75"/>
    <x v="4"/>
    <x v="0"/>
    <x v="2"/>
    <x v="2"/>
    <n v="4"/>
    <n v="1850"/>
    <n v="0.1"/>
    <n v="6660"/>
    <n v="4867.24"/>
    <n v="1792.76"/>
    <s v="Cash"/>
    <m/>
    <m/>
    <m/>
    <m/>
  </r>
  <r>
    <n v="1054"/>
    <x v="53"/>
    <s v="Customer 72"/>
    <x v="2"/>
    <x v="1"/>
    <x v="0"/>
    <x v="0"/>
    <n v="2"/>
    <n v="970"/>
    <n v="0.15"/>
    <n v="1649"/>
    <n v="1092.47"/>
    <n v="556.53"/>
    <s v="Card"/>
    <m/>
    <m/>
    <m/>
    <m/>
  </r>
  <r>
    <n v="1055"/>
    <x v="54"/>
    <s v="Customer 29"/>
    <x v="0"/>
    <x v="2"/>
    <x v="1"/>
    <x v="5"/>
    <n v="1"/>
    <n v="1590"/>
    <n v="0"/>
    <n v="1590"/>
    <n v="830.19"/>
    <n v="759.81"/>
    <s v="Cash"/>
    <m/>
    <m/>
    <m/>
    <m/>
  </r>
  <r>
    <n v="1056"/>
    <x v="55"/>
    <s v="Customer 41"/>
    <x v="3"/>
    <x v="1"/>
    <x v="0"/>
    <x v="4"/>
    <n v="3"/>
    <n v="480"/>
    <n v="0"/>
    <n v="1440"/>
    <n v="848.27"/>
    <n v="591.73"/>
    <s v="Card"/>
    <m/>
    <m/>
    <m/>
    <m/>
  </r>
  <r>
    <n v="1057"/>
    <x v="56"/>
    <s v="Customer 24"/>
    <x v="2"/>
    <x v="3"/>
    <x v="0"/>
    <x v="0"/>
    <n v="3"/>
    <n v="1130"/>
    <n v="0.1"/>
    <n v="3051"/>
    <n v="1602.1"/>
    <n v="1448.9"/>
    <s v="Cash"/>
    <m/>
    <m/>
    <m/>
    <m/>
  </r>
  <r>
    <n v="1058"/>
    <x v="57"/>
    <s v="Customer 28"/>
    <x v="2"/>
    <x v="2"/>
    <x v="0"/>
    <x v="4"/>
    <n v="2"/>
    <n v="600"/>
    <n v="0.15"/>
    <n v="1020"/>
    <n v="894.78"/>
    <n v="125.22"/>
    <s v="Cash"/>
    <m/>
    <m/>
    <m/>
    <m/>
  </r>
  <r>
    <n v="1059"/>
    <x v="58"/>
    <s v="Customer 62"/>
    <x v="0"/>
    <x v="3"/>
    <x v="1"/>
    <x v="1"/>
    <n v="2"/>
    <n v="310"/>
    <n v="0.1"/>
    <n v="558"/>
    <n v="343.09"/>
    <n v="214.91"/>
    <s v="Card"/>
    <m/>
    <m/>
    <m/>
    <m/>
  </r>
  <r>
    <n v="1060"/>
    <x v="59"/>
    <s v="Customer 5"/>
    <x v="4"/>
    <x v="2"/>
    <x v="0"/>
    <x v="4"/>
    <n v="3"/>
    <n v="650"/>
    <n v="0.15"/>
    <n v="1657.5"/>
    <n v="921.07"/>
    <n v="736.43"/>
    <s v="Online"/>
    <m/>
    <m/>
    <m/>
    <m/>
  </r>
  <r>
    <n v="1061"/>
    <x v="60"/>
    <s v="Customer 1"/>
    <x v="1"/>
    <x v="0"/>
    <x v="0"/>
    <x v="0"/>
    <n v="5"/>
    <n v="1120"/>
    <n v="0.05"/>
    <n v="5320"/>
    <n v="3526.88"/>
    <n v="1793.12"/>
    <s v="Online"/>
    <m/>
    <m/>
    <m/>
    <m/>
  </r>
  <r>
    <n v="1062"/>
    <x v="61"/>
    <s v="Customer 56"/>
    <x v="1"/>
    <x v="3"/>
    <x v="2"/>
    <x v="3"/>
    <n v="1"/>
    <n v="1620"/>
    <n v="0.05"/>
    <n v="1539"/>
    <n v="922.17"/>
    <n v="616.83000000000004"/>
    <s v="Online"/>
    <m/>
    <m/>
    <m/>
    <m/>
  </r>
  <r>
    <n v="1063"/>
    <x v="62"/>
    <s v="Customer 73"/>
    <x v="2"/>
    <x v="0"/>
    <x v="1"/>
    <x v="5"/>
    <n v="3"/>
    <n v="1880"/>
    <n v="0"/>
    <n v="5640"/>
    <n v="4173.25"/>
    <n v="1466.75"/>
    <s v="Cash"/>
    <m/>
    <m/>
    <m/>
    <m/>
  </r>
  <r>
    <n v="1064"/>
    <x v="63"/>
    <s v="Customer 24"/>
    <x v="4"/>
    <x v="1"/>
    <x v="0"/>
    <x v="4"/>
    <n v="4"/>
    <n v="430"/>
    <n v="0.05"/>
    <n v="1634"/>
    <n v="1292.67"/>
    <n v="341.33"/>
    <s v="Cash"/>
    <m/>
    <m/>
    <m/>
    <m/>
  </r>
  <r>
    <n v="1065"/>
    <x v="64"/>
    <s v="Customer 8"/>
    <x v="0"/>
    <x v="1"/>
    <x v="0"/>
    <x v="4"/>
    <n v="3"/>
    <n v="1710"/>
    <n v="0.1"/>
    <n v="4617"/>
    <n v="3497.32"/>
    <n v="1119.68"/>
    <s v="Cash"/>
    <m/>
    <m/>
    <m/>
    <m/>
  </r>
  <r>
    <n v="1066"/>
    <x v="65"/>
    <s v="Customer 59"/>
    <x v="4"/>
    <x v="0"/>
    <x v="0"/>
    <x v="4"/>
    <n v="1"/>
    <n v="870"/>
    <n v="0.15"/>
    <n v="739.5"/>
    <n v="492.62"/>
    <n v="246.88"/>
    <s v="Card"/>
    <m/>
    <m/>
    <m/>
    <m/>
  </r>
  <r>
    <n v="1067"/>
    <x v="66"/>
    <s v="Customer 2"/>
    <x v="3"/>
    <x v="0"/>
    <x v="0"/>
    <x v="4"/>
    <n v="4"/>
    <n v="1680"/>
    <n v="0.15"/>
    <n v="5712"/>
    <n v="3611.86"/>
    <n v="2100.14"/>
    <s v="Cash"/>
    <m/>
    <m/>
    <m/>
    <m/>
  </r>
  <r>
    <n v="1068"/>
    <x v="67"/>
    <s v="Customer 19"/>
    <x v="1"/>
    <x v="1"/>
    <x v="0"/>
    <x v="4"/>
    <n v="5"/>
    <n v="280"/>
    <n v="0.15"/>
    <n v="1190"/>
    <n v="1043.1199999999999"/>
    <n v="146.88"/>
    <s v="Cash"/>
    <m/>
    <m/>
    <m/>
    <m/>
  </r>
  <r>
    <n v="1069"/>
    <x v="68"/>
    <s v="Customer 44"/>
    <x v="0"/>
    <x v="3"/>
    <x v="0"/>
    <x v="4"/>
    <n v="5"/>
    <n v="1780"/>
    <n v="0.15"/>
    <n v="7565"/>
    <n v="4447.46"/>
    <n v="3117.54"/>
    <s v="Online"/>
    <m/>
    <m/>
    <m/>
    <m/>
  </r>
  <r>
    <n v="1070"/>
    <x v="69"/>
    <s v="Customer 71"/>
    <x v="3"/>
    <x v="1"/>
    <x v="0"/>
    <x v="0"/>
    <n v="1"/>
    <n v="1260"/>
    <n v="0.1"/>
    <n v="1134"/>
    <n v="829.5"/>
    <n v="304.5"/>
    <s v="Cash"/>
    <m/>
    <m/>
    <m/>
    <m/>
  </r>
  <r>
    <n v="1071"/>
    <x v="70"/>
    <s v="Customer 13"/>
    <x v="2"/>
    <x v="0"/>
    <x v="1"/>
    <x v="1"/>
    <n v="1"/>
    <n v="1300"/>
    <n v="0.15"/>
    <n v="1105"/>
    <n v="596.89"/>
    <n v="508.11"/>
    <s v="Online"/>
    <m/>
    <m/>
    <m/>
    <m/>
  </r>
  <r>
    <n v="1072"/>
    <x v="71"/>
    <s v="Customer 18"/>
    <x v="4"/>
    <x v="1"/>
    <x v="0"/>
    <x v="0"/>
    <n v="4"/>
    <n v="1420"/>
    <n v="0"/>
    <n v="5680"/>
    <n v="3387.9"/>
    <n v="2292.1"/>
    <s v="Online"/>
    <m/>
    <m/>
    <m/>
    <m/>
  </r>
  <r>
    <n v="1073"/>
    <x v="72"/>
    <s v="Customer 33"/>
    <x v="1"/>
    <x v="3"/>
    <x v="0"/>
    <x v="4"/>
    <n v="5"/>
    <n v="650"/>
    <n v="0.15"/>
    <n v="2762.5"/>
    <n v="1983.23"/>
    <n v="779.27"/>
    <s v="Card"/>
    <m/>
    <m/>
    <m/>
    <m/>
  </r>
  <r>
    <n v="1074"/>
    <x v="73"/>
    <s v="Customer 60"/>
    <x v="0"/>
    <x v="2"/>
    <x v="2"/>
    <x v="2"/>
    <n v="3"/>
    <n v="480"/>
    <n v="0"/>
    <n v="1440"/>
    <n v="838.59"/>
    <n v="601.41"/>
    <s v="Online"/>
    <m/>
    <m/>
    <m/>
    <m/>
  </r>
  <r>
    <n v="1075"/>
    <x v="74"/>
    <s v="Customer 47"/>
    <x v="3"/>
    <x v="1"/>
    <x v="2"/>
    <x v="2"/>
    <n v="3"/>
    <n v="410"/>
    <n v="0.15"/>
    <n v="1045.5"/>
    <n v="890.71"/>
    <n v="154.79"/>
    <s v="Cash"/>
    <m/>
    <m/>
    <m/>
    <m/>
  </r>
  <r>
    <n v="1076"/>
    <x v="75"/>
    <s v="Customer 1"/>
    <x v="4"/>
    <x v="2"/>
    <x v="0"/>
    <x v="4"/>
    <n v="1"/>
    <n v="1150"/>
    <n v="0.15"/>
    <n v="977.5"/>
    <n v="810.98"/>
    <n v="166.52"/>
    <s v="Cash"/>
    <m/>
    <m/>
    <m/>
    <m/>
  </r>
  <r>
    <n v="1077"/>
    <x v="76"/>
    <s v="Customer 20"/>
    <x v="3"/>
    <x v="2"/>
    <x v="2"/>
    <x v="3"/>
    <n v="1"/>
    <n v="1890"/>
    <n v="0.05"/>
    <n v="1795.5"/>
    <n v="995.78"/>
    <n v="799.72"/>
    <s v="Cash"/>
    <m/>
    <m/>
    <m/>
    <m/>
  </r>
  <r>
    <n v="1078"/>
    <x v="77"/>
    <s v="Customer 35"/>
    <x v="0"/>
    <x v="3"/>
    <x v="2"/>
    <x v="3"/>
    <n v="3"/>
    <n v="980"/>
    <n v="0.05"/>
    <n v="2793"/>
    <n v="1473.22"/>
    <n v="1319.78"/>
    <s v="Online"/>
    <m/>
    <m/>
    <m/>
    <m/>
  </r>
  <r>
    <n v="1079"/>
    <x v="78"/>
    <s v="Customer 43"/>
    <x v="0"/>
    <x v="0"/>
    <x v="2"/>
    <x v="3"/>
    <n v="1"/>
    <n v="920"/>
    <n v="0.05"/>
    <n v="874"/>
    <n v="461.13"/>
    <n v="412.87"/>
    <s v="Online"/>
    <m/>
    <m/>
    <m/>
    <m/>
  </r>
  <r>
    <n v="1080"/>
    <x v="79"/>
    <s v="Customer 49"/>
    <x v="1"/>
    <x v="2"/>
    <x v="1"/>
    <x v="5"/>
    <n v="2"/>
    <n v="1970"/>
    <n v="0.15"/>
    <n v="3349"/>
    <n v="2117.79"/>
    <n v="1231.21"/>
    <s v="Card"/>
    <m/>
    <m/>
    <m/>
    <m/>
  </r>
  <r>
    <n v="1081"/>
    <x v="80"/>
    <s v="Customer 60"/>
    <x v="2"/>
    <x v="2"/>
    <x v="0"/>
    <x v="4"/>
    <n v="1"/>
    <n v="1860"/>
    <n v="0.05"/>
    <n v="1767"/>
    <n v="1358.64"/>
    <n v="408.36"/>
    <s v="Card"/>
    <m/>
    <m/>
    <m/>
    <m/>
  </r>
  <r>
    <n v="1082"/>
    <x v="81"/>
    <s v="Customer 71"/>
    <x v="3"/>
    <x v="0"/>
    <x v="0"/>
    <x v="4"/>
    <n v="3"/>
    <n v="1220"/>
    <n v="0"/>
    <n v="3660"/>
    <n v="2145.3000000000002"/>
    <n v="1514.7"/>
    <s v="Online"/>
    <m/>
    <m/>
    <m/>
    <m/>
  </r>
  <r>
    <n v="1083"/>
    <x v="82"/>
    <s v="Customer 35"/>
    <x v="1"/>
    <x v="0"/>
    <x v="2"/>
    <x v="3"/>
    <n v="3"/>
    <n v="1150"/>
    <n v="0.1"/>
    <n v="3105"/>
    <n v="2365.2199999999998"/>
    <n v="739.78"/>
    <s v="Online"/>
    <m/>
    <m/>
    <m/>
    <m/>
  </r>
  <r>
    <n v="1084"/>
    <x v="83"/>
    <s v="Customer 77"/>
    <x v="1"/>
    <x v="0"/>
    <x v="1"/>
    <x v="5"/>
    <n v="1"/>
    <n v="1050"/>
    <n v="0"/>
    <n v="1050"/>
    <n v="685.78"/>
    <n v="364.22"/>
    <s v="Card"/>
    <m/>
    <m/>
    <m/>
    <m/>
  </r>
  <r>
    <n v="1085"/>
    <x v="84"/>
    <s v="Customer 9"/>
    <x v="3"/>
    <x v="2"/>
    <x v="2"/>
    <x v="2"/>
    <n v="3"/>
    <n v="1080"/>
    <n v="0.15"/>
    <n v="2754"/>
    <n v="1567"/>
    <n v="1187"/>
    <s v="Cash"/>
    <m/>
    <m/>
    <m/>
    <m/>
  </r>
  <r>
    <n v="1086"/>
    <x v="85"/>
    <s v="Customer 45"/>
    <x v="4"/>
    <x v="1"/>
    <x v="1"/>
    <x v="5"/>
    <n v="5"/>
    <n v="650"/>
    <n v="0"/>
    <n v="3250"/>
    <n v="2518.38"/>
    <n v="731.62"/>
    <s v="Cash"/>
    <m/>
    <m/>
    <m/>
    <m/>
  </r>
  <r>
    <n v="1087"/>
    <x v="86"/>
    <s v="Customer 27"/>
    <x v="1"/>
    <x v="2"/>
    <x v="0"/>
    <x v="0"/>
    <n v="1"/>
    <n v="240"/>
    <n v="0.1"/>
    <n v="216"/>
    <n v="140.74"/>
    <n v="75.260000000000005"/>
    <s v="Card"/>
    <m/>
    <m/>
    <m/>
    <m/>
  </r>
  <r>
    <n v="1088"/>
    <x v="87"/>
    <s v="Customer 75"/>
    <x v="3"/>
    <x v="1"/>
    <x v="1"/>
    <x v="5"/>
    <n v="1"/>
    <n v="360"/>
    <n v="0.15"/>
    <n v="306"/>
    <n v="210.5"/>
    <n v="95.5"/>
    <s v="Card"/>
    <m/>
    <m/>
    <m/>
    <m/>
  </r>
  <r>
    <n v="1089"/>
    <x v="88"/>
    <s v="Customer 40"/>
    <x v="1"/>
    <x v="1"/>
    <x v="1"/>
    <x v="5"/>
    <n v="2"/>
    <n v="1250"/>
    <n v="0"/>
    <n v="2500"/>
    <n v="1306.45"/>
    <n v="1193.55"/>
    <s v="Card"/>
    <m/>
    <m/>
    <m/>
    <m/>
  </r>
  <r>
    <n v="1090"/>
    <x v="89"/>
    <s v="Customer 77"/>
    <x v="1"/>
    <x v="1"/>
    <x v="1"/>
    <x v="1"/>
    <n v="4"/>
    <n v="640"/>
    <n v="0.05"/>
    <n v="2432"/>
    <n v="2187.16"/>
    <n v="244.84"/>
    <s v="Cash"/>
    <m/>
    <m/>
    <m/>
    <m/>
  </r>
  <r>
    <n v="1091"/>
    <x v="90"/>
    <s v="Customer 47"/>
    <x v="3"/>
    <x v="0"/>
    <x v="1"/>
    <x v="1"/>
    <n v="3"/>
    <n v="1530"/>
    <n v="0.05"/>
    <n v="4360.5"/>
    <n v="3257.28"/>
    <n v="1103.22"/>
    <s v="Card"/>
    <m/>
    <m/>
    <m/>
    <m/>
  </r>
  <r>
    <n v="1092"/>
    <x v="91"/>
    <s v="Customer 35"/>
    <x v="2"/>
    <x v="3"/>
    <x v="0"/>
    <x v="4"/>
    <n v="5"/>
    <n v="1420"/>
    <n v="0.15"/>
    <n v="6035"/>
    <n v="4698.5600000000004"/>
    <n v="1336.44"/>
    <s v="Cash"/>
    <m/>
    <m/>
    <m/>
    <m/>
  </r>
  <r>
    <n v="1093"/>
    <x v="92"/>
    <s v="Customer 62"/>
    <x v="2"/>
    <x v="0"/>
    <x v="1"/>
    <x v="5"/>
    <n v="5"/>
    <n v="1140"/>
    <n v="0.05"/>
    <n v="5415"/>
    <n v="3812.74"/>
    <n v="1602.26"/>
    <s v="Online"/>
    <m/>
    <m/>
    <m/>
    <m/>
  </r>
  <r>
    <n v="1094"/>
    <x v="93"/>
    <s v="Customer 37"/>
    <x v="4"/>
    <x v="0"/>
    <x v="2"/>
    <x v="2"/>
    <n v="1"/>
    <n v="630"/>
    <n v="0.15"/>
    <n v="535.5"/>
    <n v="351.24"/>
    <n v="184.26"/>
    <s v="Online"/>
    <m/>
    <m/>
    <m/>
    <m/>
  </r>
  <r>
    <n v="1095"/>
    <x v="94"/>
    <s v="Customer 4"/>
    <x v="3"/>
    <x v="1"/>
    <x v="2"/>
    <x v="2"/>
    <n v="3"/>
    <n v="1320"/>
    <n v="0.15"/>
    <n v="3366"/>
    <n v="2354.5700000000002"/>
    <n v="1011.43"/>
    <s v="Card"/>
    <m/>
    <m/>
    <m/>
    <m/>
  </r>
  <r>
    <n v="1096"/>
    <x v="95"/>
    <s v="Customer 66"/>
    <x v="1"/>
    <x v="1"/>
    <x v="2"/>
    <x v="3"/>
    <n v="2"/>
    <n v="210"/>
    <n v="0.15"/>
    <n v="357"/>
    <n v="298.58999999999997"/>
    <n v="58.41"/>
    <s v="Online"/>
    <m/>
    <m/>
    <m/>
    <m/>
  </r>
  <r>
    <n v="1097"/>
    <x v="96"/>
    <s v="Customer 53"/>
    <x v="0"/>
    <x v="2"/>
    <x v="0"/>
    <x v="4"/>
    <n v="5"/>
    <n v="1400"/>
    <n v="0.05"/>
    <n v="6650"/>
    <n v="3355.25"/>
    <n v="3294.75"/>
    <s v="Online"/>
    <m/>
    <m/>
    <m/>
    <m/>
  </r>
  <r>
    <n v="1098"/>
    <x v="97"/>
    <s v="Customer 65"/>
    <x v="3"/>
    <x v="0"/>
    <x v="2"/>
    <x v="2"/>
    <n v="3"/>
    <n v="560"/>
    <n v="0.15"/>
    <n v="1428"/>
    <n v="1251.3900000000001"/>
    <n v="176.61"/>
    <s v="Online"/>
    <m/>
    <m/>
    <m/>
    <m/>
  </r>
  <r>
    <n v="1099"/>
    <x v="98"/>
    <s v="Customer 47"/>
    <x v="1"/>
    <x v="2"/>
    <x v="0"/>
    <x v="0"/>
    <n v="4"/>
    <n v="1440"/>
    <n v="0"/>
    <n v="5760"/>
    <n v="4419.3500000000004"/>
    <n v="1340.65"/>
    <s v="Card"/>
    <m/>
    <m/>
    <m/>
    <m/>
  </r>
  <r>
    <n v="1100"/>
    <x v="99"/>
    <s v="Customer 57"/>
    <x v="0"/>
    <x v="1"/>
    <x v="0"/>
    <x v="4"/>
    <n v="1"/>
    <n v="1410"/>
    <n v="0.05"/>
    <n v="1339.5"/>
    <n v="858.24"/>
    <n v="481.26"/>
    <s v="Cash"/>
    <m/>
    <m/>
    <m/>
    <m/>
  </r>
  <r>
    <n v="1101"/>
    <x v="100"/>
    <s v="Customer 2"/>
    <x v="0"/>
    <x v="2"/>
    <x v="0"/>
    <x v="4"/>
    <n v="4"/>
    <n v="700"/>
    <n v="0"/>
    <n v="2800"/>
    <n v="2011.42"/>
    <n v="788.58"/>
    <s v="Card"/>
    <m/>
    <m/>
    <m/>
    <m/>
  </r>
  <r>
    <n v="1102"/>
    <x v="101"/>
    <s v="Customer 79"/>
    <x v="2"/>
    <x v="1"/>
    <x v="0"/>
    <x v="4"/>
    <n v="4"/>
    <n v="1370"/>
    <n v="0"/>
    <n v="5480"/>
    <n v="4377.3500000000004"/>
    <n v="1102.6500000000001"/>
    <s v="Online"/>
    <m/>
    <m/>
    <m/>
    <m/>
  </r>
  <r>
    <n v="1103"/>
    <x v="102"/>
    <s v="Customer 75"/>
    <x v="2"/>
    <x v="2"/>
    <x v="2"/>
    <x v="2"/>
    <n v="1"/>
    <n v="800"/>
    <n v="0.05"/>
    <n v="760"/>
    <n v="548.63"/>
    <n v="211.37"/>
    <s v="Online"/>
    <m/>
    <m/>
    <m/>
    <m/>
  </r>
  <r>
    <n v="1104"/>
    <x v="103"/>
    <s v="Customer 8"/>
    <x v="3"/>
    <x v="1"/>
    <x v="2"/>
    <x v="2"/>
    <n v="4"/>
    <n v="310"/>
    <n v="0.1"/>
    <n v="1116"/>
    <n v="814.64"/>
    <n v="301.36"/>
    <s v="Cash"/>
    <m/>
    <m/>
    <m/>
    <m/>
  </r>
  <r>
    <n v="1105"/>
    <x v="104"/>
    <s v="Customer 47"/>
    <x v="1"/>
    <x v="2"/>
    <x v="2"/>
    <x v="3"/>
    <n v="3"/>
    <n v="480"/>
    <n v="0.1"/>
    <n v="1296"/>
    <n v="660.48"/>
    <n v="635.52"/>
    <s v="Card"/>
    <m/>
    <m/>
    <m/>
    <m/>
  </r>
  <r>
    <n v="1106"/>
    <x v="105"/>
    <s v="Customer 48"/>
    <x v="3"/>
    <x v="3"/>
    <x v="0"/>
    <x v="4"/>
    <n v="5"/>
    <n v="1440"/>
    <n v="0.1"/>
    <n v="6480"/>
    <n v="5606.97"/>
    <n v="873.03"/>
    <s v="Card"/>
    <m/>
    <m/>
    <m/>
    <m/>
  </r>
  <r>
    <n v="1107"/>
    <x v="106"/>
    <s v="Customer 5"/>
    <x v="2"/>
    <x v="3"/>
    <x v="1"/>
    <x v="1"/>
    <n v="2"/>
    <n v="1120"/>
    <n v="0.15"/>
    <n v="1904"/>
    <n v="1303.6600000000001"/>
    <n v="600.34"/>
    <s v="Online"/>
    <m/>
    <m/>
    <m/>
    <m/>
  </r>
  <r>
    <n v="1108"/>
    <x v="107"/>
    <s v="Customer 4"/>
    <x v="3"/>
    <x v="3"/>
    <x v="2"/>
    <x v="3"/>
    <n v="3"/>
    <n v="710"/>
    <n v="0.1"/>
    <n v="1917"/>
    <n v="1677.08"/>
    <n v="239.92"/>
    <s v="Online"/>
    <m/>
    <m/>
    <m/>
    <m/>
  </r>
  <r>
    <n v="1109"/>
    <x v="108"/>
    <s v="Customer 66"/>
    <x v="0"/>
    <x v="0"/>
    <x v="2"/>
    <x v="2"/>
    <n v="3"/>
    <n v="520"/>
    <n v="0.05"/>
    <n v="1482"/>
    <n v="1171.6199999999999"/>
    <n v="310.38"/>
    <s v="Card"/>
    <m/>
    <m/>
    <m/>
    <m/>
  </r>
  <r>
    <n v="1110"/>
    <x v="109"/>
    <s v="Customer 51"/>
    <x v="3"/>
    <x v="3"/>
    <x v="1"/>
    <x v="5"/>
    <n v="4"/>
    <n v="1220"/>
    <n v="0.05"/>
    <n v="4636"/>
    <n v="4094.05"/>
    <n v="541.95000000000005"/>
    <s v="Online"/>
    <m/>
    <m/>
    <m/>
    <m/>
  </r>
  <r>
    <n v="1111"/>
    <x v="110"/>
    <s v="Customer 47"/>
    <x v="3"/>
    <x v="0"/>
    <x v="2"/>
    <x v="2"/>
    <n v="4"/>
    <n v="350"/>
    <n v="0.1"/>
    <n v="1260"/>
    <n v="869.69"/>
    <n v="390.31"/>
    <s v="Cash"/>
    <m/>
    <m/>
    <m/>
    <m/>
  </r>
  <r>
    <n v="1112"/>
    <x v="111"/>
    <s v="Customer 79"/>
    <x v="4"/>
    <x v="0"/>
    <x v="2"/>
    <x v="3"/>
    <n v="2"/>
    <n v="520"/>
    <n v="0.15"/>
    <n v="884"/>
    <n v="742.64"/>
    <n v="141.36000000000001"/>
    <s v="Card"/>
    <m/>
    <m/>
    <m/>
    <m/>
  </r>
  <r>
    <n v="1113"/>
    <x v="112"/>
    <s v="Customer 48"/>
    <x v="1"/>
    <x v="2"/>
    <x v="0"/>
    <x v="4"/>
    <n v="2"/>
    <n v="770"/>
    <n v="0.1"/>
    <n v="1386"/>
    <n v="845.23"/>
    <n v="540.77"/>
    <s v="Card"/>
    <m/>
    <m/>
    <m/>
    <m/>
  </r>
  <r>
    <n v="1114"/>
    <x v="113"/>
    <s v="Customer 71"/>
    <x v="2"/>
    <x v="3"/>
    <x v="1"/>
    <x v="1"/>
    <n v="1"/>
    <n v="1370"/>
    <n v="0"/>
    <n v="1370"/>
    <n v="1159.82"/>
    <n v="210.18"/>
    <s v="Online"/>
    <m/>
    <m/>
    <m/>
    <m/>
  </r>
  <r>
    <n v="1115"/>
    <x v="114"/>
    <s v="Customer 44"/>
    <x v="1"/>
    <x v="0"/>
    <x v="1"/>
    <x v="1"/>
    <n v="4"/>
    <n v="650"/>
    <n v="0"/>
    <n v="2600"/>
    <n v="2283.04"/>
    <n v="316.95999999999998"/>
    <s v="Online"/>
    <m/>
    <m/>
    <m/>
    <m/>
  </r>
  <r>
    <n v="1116"/>
    <x v="115"/>
    <s v="Customer 66"/>
    <x v="0"/>
    <x v="0"/>
    <x v="1"/>
    <x v="1"/>
    <n v="3"/>
    <n v="1210"/>
    <n v="0.15"/>
    <n v="3085.5"/>
    <n v="2762.88"/>
    <n v="322.62"/>
    <s v="Online"/>
    <m/>
    <m/>
    <m/>
    <m/>
  </r>
  <r>
    <n v="1117"/>
    <x v="116"/>
    <s v="Customer 36"/>
    <x v="0"/>
    <x v="1"/>
    <x v="1"/>
    <x v="5"/>
    <n v="3"/>
    <n v="1950"/>
    <n v="0.15"/>
    <n v="4972.5"/>
    <n v="2745.66"/>
    <n v="2226.84"/>
    <s v="Card"/>
    <m/>
    <m/>
    <m/>
    <m/>
  </r>
  <r>
    <n v="1118"/>
    <x v="117"/>
    <s v="Customer 70"/>
    <x v="1"/>
    <x v="3"/>
    <x v="1"/>
    <x v="1"/>
    <n v="1"/>
    <n v="780"/>
    <n v="0.05"/>
    <n v="741"/>
    <n v="472.94"/>
    <n v="268.06"/>
    <s v="Card"/>
    <m/>
    <m/>
    <m/>
    <m/>
  </r>
  <r>
    <n v="1119"/>
    <x v="118"/>
    <s v="Customer 31"/>
    <x v="2"/>
    <x v="1"/>
    <x v="0"/>
    <x v="4"/>
    <n v="3"/>
    <n v="1900"/>
    <n v="0.05"/>
    <n v="5415"/>
    <n v="4565.6400000000003"/>
    <n v="849.36"/>
    <s v="Cash"/>
    <m/>
    <m/>
    <m/>
    <m/>
  </r>
  <r>
    <n v="1120"/>
    <x v="119"/>
    <s v="Customer 69"/>
    <x v="4"/>
    <x v="1"/>
    <x v="0"/>
    <x v="0"/>
    <n v="1"/>
    <n v="1870"/>
    <n v="0.05"/>
    <n v="1776.5"/>
    <n v="1441.01"/>
    <n v="335.49"/>
    <s v="Online"/>
    <m/>
    <m/>
    <m/>
    <m/>
  </r>
  <r>
    <n v="1121"/>
    <x v="120"/>
    <s v="Customer 23"/>
    <x v="4"/>
    <x v="0"/>
    <x v="0"/>
    <x v="4"/>
    <n v="3"/>
    <n v="860"/>
    <n v="0.1"/>
    <n v="2322"/>
    <n v="1238.4000000000001"/>
    <n v="1083.5999999999999"/>
    <s v="Card"/>
    <m/>
    <m/>
    <m/>
    <m/>
  </r>
  <r>
    <n v="1122"/>
    <x v="121"/>
    <s v="Customer 34"/>
    <x v="4"/>
    <x v="2"/>
    <x v="1"/>
    <x v="5"/>
    <n v="4"/>
    <n v="1920"/>
    <n v="0"/>
    <n v="7680"/>
    <n v="5809.08"/>
    <n v="1870.92"/>
    <s v="Online"/>
    <m/>
    <m/>
    <m/>
    <m/>
  </r>
  <r>
    <n v="1123"/>
    <x v="122"/>
    <s v="Customer 76"/>
    <x v="3"/>
    <x v="3"/>
    <x v="2"/>
    <x v="2"/>
    <n v="3"/>
    <n v="1320"/>
    <n v="0.1"/>
    <n v="3564"/>
    <n v="2613.06"/>
    <n v="950.94"/>
    <s v="Online"/>
    <m/>
    <m/>
    <m/>
    <m/>
  </r>
  <r>
    <n v="1124"/>
    <x v="123"/>
    <s v="Customer 26"/>
    <x v="3"/>
    <x v="2"/>
    <x v="1"/>
    <x v="1"/>
    <n v="2"/>
    <n v="780"/>
    <n v="0.05"/>
    <n v="1482"/>
    <n v="938.27"/>
    <n v="543.73"/>
    <s v="Online"/>
    <m/>
    <m/>
    <m/>
    <m/>
  </r>
  <r>
    <n v="1125"/>
    <x v="124"/>
    <s v="Customer 2"/>
    <x v="3"/>
    <x v="3"/>
    <x v="0"/>
    <x v="4"/>
    <n v="5"/>
    <n v="1680"/>
    <n v="0.1"/>
    <n v="7560"/>
    <n v="4701.95"/>
    <n v="2858.05"/>
    <s v="Cash"/>
    <m/>
    <m/>
    <m/>
    <m/>
  </r>
  <r>
    <n v="1126"/>
    <x v="125"/>
    <s v="Customer 21"/>
    <x v="2"/>
    <x v="3"/>
    <x v="0"/>
    <x v="0"/>
    <n v="3"/>
    <n v="840"/>
    <n v="0.15"/>
    <n v="2142"/>
    <n v="1777.44"/>
    <n v="364.56"/>
    <s v="Online"/>
    <m/>
    <m/>
    <m/>
    <m/>
  </r>
  <r>
    <n v="1127"/>
    <x v="126"/>
    <s v="Customer 7"/>
    <x v="3"/>
    <x v="1"/>
    <x v="1"/>
    <x v="1"/>
    <n v="5"/>
    <n v="1450"/>
    <n v="0.15"/>
    <n v="6162.5"/>
    <n v="3669.85"/>
    <n v="2492.65"/>
    <s v="Cash"/>
    <m/>
    <m/>
    <m/>
    <m/>
  </r>
  <r>
    <n v="1128"/>
    <x v="127"/>
    <s v="Customer 69"/>
    <x v="0"/>
    <x v="0"/>
    <x v="1"/>
    <x v="1"/>
    <n v="2"/>
    <n v="1970"/>
    <n v="0.05"/>
    <n v="3743"/>
    <n v="1946.69"/>
    <n v="1796.31"/>
    <s v="Card"/>
    <m/>
    <m/>
    <m/>
    <m/>
  </r>
  <r>
    <n v="1129"/>
    <x v="128"/>
    <s v="Customer 1"/>
    <x v="1"/>
    <x v="1"/>
    <x v="2"/>
    <x v="3"/>
    <n v="1"/>
    <n v="1600"/>
    <n v="0"/>
    <n v="1600"/>
    <n v="1246.29"/>
    <n v="353.71"/>
    <s v="Online"/>
    <m/>
    <m/>
    <m/>
    <m/>
  </r>
  <r>
    <n v="1130"/>
    <x v="129"/>
    <s v="Customer 30"/>
    <x v="0"/>
    <x v="0"/>
    <x v="0"/>
    <x v="4"/>
    <n v="1"/>
    <n v="1790"/>
    <n v="0.1"/>
    <n v="1611"/>
    <n v="1329.58"/>
    <n v="281.42"/>
    <s v="Online"/>
    <m/>
    <m/>
    <m/>
    <m/>
  </r>
  <r>
    <n v="1131"/>
    <x v="130"/>
    <s v="Customer 55"/>
    <x v="0"/>
    <x v="1"/>
    <x v="0"/>
    <x v="4"/>
    <n v="2"/>
    <n v="1820"/>
    <n v="0.15"/>
    <n v="3094"/>
    <n v="2589.6799999999998"/>
    <n v="504.32"/>
    <s v="Online"/>
    <m/>
    <m/>
    <m/>
    <m/>
  </r>
  <r>
    <n v="1132"/>
    <x v="131"/>
    <s v="Customer 20"/>
    <x v="0"/>
    <x v="2"/>
    <x v="1"/>
    <x v="1"/>
    <n v="5"/>
    <n v="390"/>
    <n v="0.15"/>
    <n v="1657.5"/>
    <n v="849.02"/>
    <n v="808.48"/>
    <s v="Online"/>
    <m/>
    <m/>
    <m/>
    <m/>
  </r>
  <r>
    <n v="1133"/>
    <x v="132"/>
    <s v="Customer 66"/>
    <x v="3"/>
    <x v="0"/>
    <x v="0"/>
    <x v="0"/>
    <n v="1"/>
    <n v="730"/>
    <n v="0.1"/>
    <n v="657"/>
    <n v="559.52"/>
    <n v="97.48"/>
    <s v="Card"/>
    <m/>
    <m/>
    <m/>
    <m/>
  </r>
  <r>
    <n v="1134"/>
    <x v="133"/>
    <s v="Customer 26"/>
    <x v="0"/>
    <x v="1"/>
    <x v="0"/>
    <x v="4"/>
    <n v="1"/>
    <n v="520"/>
    <n v="0.1"/>
    <n v="468"/>
    <n v="325.39999999999998"/>
    <n v="142.6"/>
    <s v="Card"/>
    <m/>
    <m/>
    <m/>
    <m/>
  </r>
  <r>
    <n v="1135"/>
    <x v="134"/>
    <s v="Customer 48"/>
    <x v="2"/>
    <x v="2"/>
    <x v="0"/>
    <x v="0"/>
    <n v="1"/>
    <n v="420"/>
    <n v="0"/>
    <n v="420"/>
    <n v="255.11"/>
    <n v="164.89"/>
    <s v="Cash"/>
    <m/>
    <m/>
    <m/>
    <m/>
  </r>
  <r>
    <n v="1136"/>
    <x v="135"/>
    <s v="Customer 55"/>
    <x v="1"/>
    <x v="0"/>
    <x v="2"/>
    <x v="2"/>
    <n v="3"/>
    <n v="1820"/>
    <n v="0.15"/>
    <n v="4641"/>
    <n v="3771.61"/>
    <n v="869.39"/>
    <s v="Card"/>
    <m/>
    <m/>
    <m/>
    <m/>
  </r>
  <r>
    <n v="1137"/>
    <x v="136"/>
    <s v="Customer 50"/>
    <x v="4"/>
    <x v="1"/>
    <x v="0"/>
    <x v="0"/>
    <n v="1"/>
    <n v="1190"/>
    <n v="0"/>
    <n v="1190"/>
    <n v="882.68"/>
    <n v="307.32"/>
    <s v="Card"/>
    <m/>
    <m/>
    <m/>
    <m/>
  </r>
  <r>
    <n v="1138"/>
    <x v="137"/>
    <s v="Customer 40"/>
    <x v="1"/>
    <x v="1"/>
    <x v="1"/>
    <x v="1"/>
    <n v="1"/>
    <n v="490"/>
    <n v="0.15"/>
    <n v="416.5"/>
    <n v="370.2"/>
    <n v="46.3"/>
    <s v="Card"/>
    <m/>
    <m/>
    <m/>
    <m/>
  </r>
  <r>
    <n v="1139"/>
    <x v="138"/>
    <s v="Customer 5"/>
    <x v="3"/>
    <x v="3"/>
    <x v="2"/>
    <x v="3"/>
    <n v="3"/>
    <n v="1930"/>
    <n v="0"/>
    <n v="5790"/>
    <n v="3008.33"/>
    <n v="2781.67"/>
    <s v="Cash"/>
    <m/>
    <m/>
    <m/>
    <m/>
  </r>
  <r>
    <n v="1140"/>
    <x v="139"/>
    <s v="Customer 49"/>
    <x v="3"/>
    <x v="0"/>
    <x v="0"/>
    <x v="0"/>
    <n v="1"/>
    <n v="1380"/>
    <n v="0.05"/>
    <n v="1311"/>
    <n v="804.08"/>
    <n v="506.92"/>
    <s v="Cash"/>
    <m/>
    <m/>
    <m/>
    <m/>
  </r>
  <r>
    <n v="1141"/>
    <x v="140"/>
    <s v="Customer 65"/>
    <x v="3"/>
    <x v="3"/>
    <x v="0"/>
    <x v="4"/>
    <n v="3"/>
    <n v="570"/>
    <n v="0"/>
    <n v="1710"/>
    <n v="1411.64"/>
    <n v="298.36"/>
    <s v="Online"/>
    <m/>
    <m/>
    <m/>
    <m/>
  </r>
  <r>
    <n v="1142"/>
    <x v="141"/>
    <s v="Customer 28"/>
    <x v="3"/>
    <x v="3"/>
    <x v="2"/>
    <x v="2"/>
    <n v="2"/>
    <n v="1450"/>
    <n v="0.15"/>
    <n v="2465"/>
    <n v="1362.19"/>
    <n v="1102.81"/>
    <s v="Online"/>
    <m/>
    <m/>
    <m/>
    <m/>
  </r>
  <r>
    <n v="1143"/>
    <x v="142"/>
    <s v="Customer 29"/>
    <x v="4"/>
    <x v="1"/>
    <x v="2"/>
    <x v="3"/>
    <n v="3"/>
    <n v="220"/>
    <n v="0"/>
    <n v="660"/>
    <n v="410.25"/>
    <n v="249.75"/>
    <s v="Online"/>
    <m/>
    <m/>
    <m/>
    <m/>
  </r>
  <r>
    <n v="1144"/>
    <x v="143"/>
    <s v="Customer 60"/>
    <x v="2"/>
    <x v="1"/>
    <x v="0"/>
    <x v="0"/>
    <n v="3"/>
    <n v="1630"/>
    <n v="0.15"/>
    <n v="4156.5"/>
    <n v="3197.95"/>
    <n v="958.55"/>
    <s v="Online"/>
    <m/>
    <m/>
    <m/>
    <m/>
  </r>
  <r>
    <n v="1145"/>
    <x v="144"/>
    <s v="Customer 8"/>
    <x v="0"/>
    <x v="2"/>
    <x v="1"/>
    <x v="1"/>
    <n v="2"/>
    <n v="1590"/>
    <n v="0.05"/>
    <n v="3021"/>
    <n v="1940.85"/>
    <n v="1080.1500000000001"/>
    <s v="Cash"/>
    <m/>
    <m/>
    <m/>
    <m/>
  </r>
  <r>
    <n v="1146"/>
    <x v="145"/>
    <s v="Customer 18"/>
    <x v="1"/>
    <x v="3"/>
    <x v="1"/>
    <x v="1"/>
    <n v="2"/>
    <n v="1500"/>
    <n v="0.05"/>
    <n v="2850"/>
    <n v="2461.94"/>
    <n v="388.06"/>
    <s v="Card"/>
    <m/>
    <m/>
    <m/>
    <m/>
  </r>
  <r>
    <n v="1147"/>
    <x v="146"/>
    <s v="Customer 32"/>
    <x v="1"/>
    <x v="2"/>
    <x v="2"/>
    <x v="2"/>
    <n v="1"/>
    <n v="860"/>
    <n v="0.15"/>
    <n v="731"/>
    <n v="394.21"/>
    <n v="336.79"/>
    <s v="Card"/>
    <m/>
    <m/>
    <m/>
    <m/>
  </r>
  <r>
    <n v="1148"/>
    <x v="147"/>
    <s v="Customer 15"/>
    <x v="3"/>
    <x v="2"/>
    <x v="1"/>
    <x v="5"/>
    <n v="2"/>
    <n v="1100"/>
    <n v="0.15"/>
    <n v="1870"/>
    <n v="1439.8"/>
    <n v="430.2"/>
    <s v="Cash"/>
    <m/>
    <m/>
    <m/>
    <m/>
  </r>
  <r>
    <n v="1149"/>
    <x v="148"/>
    <s v="Customer 55"/>
    <x v="1"/>
    <x v="3"/>
    <x v="2"/>
    <x v="2"/>
    <n v="2"/>
    <n v="1470"/>
    <n v="0.05"/>
    <n v="2793"/>
    <n v="2444.23"/>
    <n v="348.77"/>
    <s v="Cash"/>
    <m/>
    <m/>
    <m/>
    <m/>
  </r>
  <r>
    <n v="1150"/>
    <x v="149"/>
    <s v="Customer 19"/>
    <x v="1"/>
    <x v="2"/>
    <x v="0"/>
    <x v="0"/>
    <n v="5"/>
    <n v="460"/>
    <n v="0.1"/>
    <n v="2070"/>
    <n v="1610.43"/>
    <n v="459.57"/>
    <s v="Card"/>
    <m/>
    <m/>
    <m/>
    <m/>
  </r>
  <r>
    <n v="1151"/>
    <x v="150"/>
    <s v="Customer 36"/>
    <x v="2"/>
    <x v="2"/>
    <x v="1"/>
    <x v="5"/>
    <n v="2"/>
    <n v="1070"/>
    <n v="0.15"/>
    <n v="1819"/>
    <n v="997.94"/>
    <n v="821.06"/>
    <s v="Online"/>
    <m/>
    <m/>
    <m/>
    <m/>
  </r>
  <r>
    <n v="1152"/>
    <x v="151"/>
    <s v="Customer 2"/>
    <x v="4"/>
    <x v="1"/>
    <x v="0"/>
    <x v="0"/>
    <n v="2"/>
    <n v="910"/>
    <n v="0"/>
    <n v="1820"/>
    <n v="1372.54"/>
    <n v="447.46"/>
    <s v="Cash"/>
    <m/>
    <m/>
    <m/>
    <m/>
  </r>
  <r>
    <n v="1153"/>
    <x v="152"/>
    <s v="Customer 77"/>
    <x v="1"/>
    <x v="3"/>
    <x v="2"/>
    <x v="2"/>
    <n v="4"/>
    <n v="1310"/>
    <n v="0.1"/>
    <n v="4716"/>
    <n v="4195.92"/>
    <n v="520.08000000000004"/>
    <s v="Card"/>
    <m/>
    <m/>
    <m/>
    <m/>
  </r>
  <r>
    <n v="1154"/>
    <x v="153"/>
    <s v="Customer 63"/>
    <x v="3"/>
    <x v="1"/>
    <x v="2"/>
    <x v="2"/>
    <n v="3"/>
    <n v="340"/>
    <n v="0.15"/>
    <n v="867"/>
    <n v="517.1"/>
    <n v="349.9"/>
    <s v="Cash"/>
    <m/>
    <m/>
    <m/>
    <m/>
  </r>
  <r>
    <n v="1155"/>
    <x v="154"/>
    <s v="Customer 29"/>
    <x v="2"/>
    <x v="3"/>
    <x v="1"/>
    <x v="5"/>
    <n v="5"/>
    <n v="950"/>
    <n v="0"/>
    <n v="4750"/>
    <n v="3426.75"/>
    <n v="1323.25"/>
    <s v="Cash"/>
    <m/>
    <m/>
    <m/>
    <m/>
  </r>
  <r>
    <n v="1156"/>
    <x v="155"/>
    <s v="Customer 52"/>
    <x v="3"/>
    <x v="3"/>
    <x v="2"/>
    <x v="3"/>
    <n v="4"/>
    <n v="850"/>
    <n v="0.1"/>
    <n v="3060"/>
    <n v="1751.97"/>
    <n v="1308.03"/>
    <s v="Online"/>
    <m/>
    <m/>
    <m/>
    <m/>
  </r>
  <r>
    <n v="1157"/>
    <x v="156"/>
    <s v="Customer 47"/>
    <x v="0"/>
    <x v="3"/>
    <x v="2"/>
    <x v="2"/>
    <n v="5"/>
    <n v="240"/>
    <n v="0.05"/>
    <n v="1140"/>
    <n v="980.64"/>
    <n v="159.36000000000001"/>
    <s v="Cash"/>
    <m/>
    <m/>
    <m/>
    <m/>
  </r>
  <r>
    <n v="1158"/>
    <x v="157"/>
    <s v="Customer 6"/>
    <x v="2"/>
    <x v="2"/>
    <x v="1"/>
    <x v="5"/>
    <n v="3"/>
    <n v="1820"/>
    <n v="0.15"/>
    <n v="4641"/>
    <n v="3406.59"/>
    <n v="1234.4100000000001"/>
    <s v="Online"/>
    <m/>
    <m/>
    <m/>
    <m/>
  </r>
  <r>
    <n v="1159"/>
    <x v="158"/>
    <s v="Customer 55"/>
    <x v="1"/>
    <x v="3"/>
    <x v="2"/>
    <x v="2"/>
    <n v="1"/>
    <n v="1030"/>
    <n v="0.15"/>
    <n v="875.5"/>
    <n v="493.35"/>
    <n v="382.15"/>
    <s v="Cash"/>
    <m/>
    <m/>
    <m/>
    <m/>
  </r>
  <r>
    <n v="1160"/>
    <x v="159"/>
    <s v="Customer 36"/>
    <x v="0"/>
    <x v="0"/>
    <x v="1"/>
    <x v="5"/>
    <n v="3"/>
    <n v="330"/>
    <n v="0"/>
    <n v="990"/>
    <n v="720.16"/>
    <n v="269.83999999999997"/>
    <s v="Online"/>
    <m/>
    <m/>
    <m/>
    <m/>
  </r>
  <r>
    <n v="1161"/>
    <x v="160"/>
    <s v="Customer 71"/>
    <x v="0"/>
    <x v="2"/>
    <x v="2"/>
    <x v="2"/>
    <n v="2"/>
    <n v="1070"/>
    <n v="0.1"/>
    <n v="1926"/>
    <n v="1306.71"/>
    <n v="619.29"/>
    <s v="Cash"/>
    <m/>
    <m/>
    <m/>
    <m/>
  </r>
  <r>
    <n v="1162"/>
    <x v="161"/>
    <s v="Customer 13"/>
    <x v="4"/>
    <x v="3"/>
    <x v="1"/>
    <x v="5"/>
    <n v="2"/>
    <n v="1830"/>
    <n v="0.05"/>
    <n v="3477"/>
    <n v="1811.61"/>
    <n v="1665.39"/>
    <s v="Cash"/>
    <m/>
    <m/>
    <m/>
    <m/>
  </r>
  <r>
    <n v="1163"/>
    <x v="162"/>
    <s v="Customer 35"/>
    <x v="0"/>
    <x v="3"/>
    <x v="2"/>
    <x v="2"/>
    <n v="5"/>
    <n v="1180"/>
    <n v="0.15"/>
    <n v="5015"/>
    <n v="3554.54"/>
    <n v="1460.46"/>
    <s v="Online"/>
    <m/>
    <m/>
    <m/>
    <m/>
  </r>
  <r>
    <n v="1164"/>
    <x v="163"/>
    <s v="Customer 41"/>
    <x v="1"/>
    <x v="1"/>
    <x v="2"/>
    <x v="2"/>
    <n v="1"/>
    <n v="1300"/>
    <n v="0.1"/>
    <n v="1170"/>
    <n v="602.79999999999995"/>
    <n v="567.20000000000005"/>
    <s v="Online"/>
    <m/>
    <m/>
    <m/>
    <m/>
  </r>
  <r>
    <n v="1165"/>
    <x v="164"/>
    <s v="Customer 49"/>
    <x v="1"/>
    <x v="1"/>
    <x v="2"/>
    <x v="2"/>
    <n v="5"/>
    <n v="1430"/>
    <n v="0.05"/>
    <n v="6792.5"/>
    <n v="3973.6"/>
    <n v="2818.9"/>
    <s v="Card"/>
    <m/>
    <m/>
    <m/>
    <m/>
  </r>
  <r>
    <n v="1166"/>
    <x v="165"/>
    <s v="Customer 8"/>
    <x v="2"/>
    <x v="0"/>
    <x v="2"/>
    <x v="3"/>
    <n v="2"/>
    <n v="1140"/>
    <n v="0.15"/>
    <n v="1938"/>
    <n v="1658.98"/>
    <n v="279.02"/>
    <s v="Online"/>
    <m/>
    <m/>
    <m/>
    <m/>
  </r>
  <r>
    <n v="1167"/>
    <x v="166"/>
    <s v="Customer 37"/>
    <x v="2"/>
    <x v="3"/>
    <x v="0"/>
    <x v="0"/>
    <n v="4"/>
    <n v="1430"/>
    <n v="0"/>
    <n v="5720"/>
    <n v="3951.91"/>
    <n v="1768.09"/>
    <s v="Cash"/>
    <m/>
    <m/>
    <m/>
    <m/>
  </r>
  <r>
    <n v="1168"/>
    <x v="167"/>
    <s v="Customer 65"/>
    <x v="3"/>
    <x v="1"/>
    <x v="1"/>
    <x v="5"/>
    <n v="2"/>
    <n v="1970"/>
    <n v="0.15"/>
    <n v="3349"/>
    <n v="2924.73"/>
    <n v="424.27"/>
    <s v="Online"/>
    <m/>
    <m/>
    <m/>
    <m/>
  </r>
  <r>
    <n v="1169"/>
    <x v="168"/>
    <s v="Customer 25"/>
    <x v="3"/>
    <x v="1"/>
    <x v="2"/>
    <x v="2"/>
    <n v="4"/>
    <n v="1700"/>
    <n v="0.05"/>
    <n v="6460"/>
    <n v="4028.03"/>
    <n v="2431.9699999999998"/>
    <s v="Card"/>
    <m/>
    <m/>
    <m/>
    <m/>
  </r>
  <r>
    <n v="1170"/>
    <x v="169"/>
    <s v="Customer 44"/>
    <x v="0"/>
    <x v="0"/>
    <x v="1"/>
    <x v="5"/>
    <n v="5"/>
    <n v="1510"/>
    <n v="0.05"/>
    <n v="7172.5"/>
    <n v="5582.18"/>
    <n v="1590.32"/>
    <s v="Cash"/>
    <m/>
    <m/>
    <m/>
    <m/>
  </r>
  <r>
    <n v="1171"/>
    <x v="170"/>
    <s v="Customer 71"/>
    <x v="2"/>
    <x v="3"/>
    <x v="2"/>
    <x v="2"/>
    <n v="2"/>
    <n v="940"/>
    <n v="0.05"/>
    <n v="1786"/>
    <n v="1085.03"/>
    <n v="700.97"/>
    <s v="Online"/>
    <m/>
    <m/>
    <m/>
    <m/>
  </r>
  <r>
    <n v="1172"/>
    <x v="171"/>
    <s v="Customer 16"/>
    <x v="2"/>
    <x v="1"/>
    <x v="0"/>
    <x v="0"/>
    <n v="3"/>
    <n v="460"/>
    <n v="0"/>
    <n v="1380"/>
    <n v="980.6"/>
    <n v="399.4"/>
    <s v="Online"/>
    <m/>
    <m/>
    <m/>
    <m/>
  </r>
  <r>
    <n v="1173"/>
    <x v="172"/>
    <s v="Customer 46"/>
    <x v="3"/>
    <x v="2"/>
    <x v="1"/>
    <x v="5"/>
    <n v="3"/>
    <n v="1070"/>
    <n v="0.15"/>
    <n v="2728.5"/>
    <n v="2179.73"/>
    <n v="548.77"/>
    <s v="Online"/>
    <m/>
    <m/>
    <m/>
    <m/>
  </r>
  <r>
    <n v="1174"/>
    <x v="173"/>
    <s v="Customer 58"/>
    <x v="4"/>
    <x v="0"/>
    <x v="0"/>
    <x v="4"/>
    <n v="4"/>
    <n v="1910"/>
    <n v="0.15"/>
    <n v="6494"/>
    <n v="5099.8"/>
    <n v="1394.2"/>
    <s v="Card"/>
    <m/>
    <m/>
    <m/>
    <m/>
  </r>
  <r>
    <n v="1175"/>
    <x v="174"/>
    <s v="Customer 47"/>
    <x v="2"/>
    <x v="1"/>
    <x v="0"/>
    <x v="4"/>
    <n v="1"/>
    <n v="720"/>
    <n v="0.15"/>
    <n v="612"/>
    <n v="369.5"/>
    <n v="242.5"/>
    <s v="Online"/>
    <m/>
    <m/>
    <m/>
    <m/>
  </r>
  <r>
    <n v="1176"/>
    <x v="175"/>
    <s v="Customer 53"/>
    <x v="0"/>
    <x v="2"/>
    <x v="0"/>
    <x v="4"/>
    <n v="1"/>
    <n v="330"/>
    <n v="0.05"/>
    <n v="313.5"/>
    <n v="211.72"/>
    <n v="101.78"/>
    <s v="Card"/>
    <m/>
    <m/>
    <m/>
    <m/>
  </r>
  <r>
    <n v="1177"/>
    <x v="176"/>
    <s v="Customer 22"/>
    <x v="4"/>
    <x v="0"/>
    <x v="2"/>
    <x v="3"/>
    <n v="3"/>
    <n v="1810"/>
    <n v="0.05"/>
    <n v="5158.5"/>
    <n v="3989.76"/>
    <n v="1168.74"/>
    <s v="Card"/>
    <m/>
    <m/>
    <m/>
    <m/>
  </r>
  <r>
    <n v="1178"/>
    <x v="177"/>
    <s v="Customer 47"/>
    <x v="0"/>
    <x v="0"/>
    <x v="0"/>
    <x v="0"/>
    <n v="4"/>
    <n v="830"/>
    <n v="0.1"/>
    <n v="2988"/>
    <n v="2681.63"/>
    <n v="306.37"/>
    <s v="Card"/>
    <m/>
    <m/>
    <m/>
    <m/>
  </r>
  <r>
    <n v="1179"/>
    <x v="178"/>
    <s v="Customer 75"/>
    <x v="0"/>
    <x v="1"/>
    <x v="2"/>
    <x v="3"/>
    <n v="4"/>
    <n v="1380"/>
    <n v="0.15"/>
    <n v="4692"/>
    <n v="2775.58"/>
    <n v="1916.42"/>
    <s v="Cash"/>
    <m/>
    <m/>
    <m/>
    <m/>
  </r>
  <r>
    <n v="1180"/>
    <x v="179"/>
    <s v="Customer 77"/>
    <x v="1"/>
    <x v="1"/>
    <x v="1"/>
    <x v="5"/>
    <n v="2"/>
    <n v="390"/>
    <n v="0.15"/>
    <n v="663"/>
    <n v="396.97"/>
    <n v="266.02999999999997"/>
    <s v="Cash"/>
    <m/>
    <m/>
    <m/>
    <m/>
  </r>
  <r>
    <n v="1181"/>
    <x v="180"/>
    <s v="Customer 36"/>
    <x v="4"/>
    <x v="3"/>
    <x v="2"/>
    <x v="2"/>
    <n v="5"/>
    <n v="660"/>
    <n v="0.1"/>
    <n v="2970"/>
    <n v="1559.85"/>
    <n v="1410.15"/>
    <s v="Online"/>
    <m/>
    <m/>
    <m/>
    <m/>
  </r>
  <r>
    <n v="1182"/>
    <x v="181"/>
    <s v="Customer 65"/>
    <x v="2"/>
    <x v="2"/>
    <x v="2"/>
    <x v="3"/>
    <n v="2"/>
    <n v="520"/>
    <n v="0"/>
    <n v="1040"/>
    <n v="899.96"/>
    <n v="140.04"/>
    <s v="Online"/>
    <m/>
    <m/>
    <m/>
    <m/>
  </r>
  <r>
    <n v="1183"/>
    <x v="182"/>
    <s v="Customer 53"/>
    <x v="4"/>
    <x v="1"/>
    <x v="1"/>
    <x v="1"/>
    <n v="5"/>
    <n v="1850"/>
    <n v="0"/>
    <n v="9250"/>
    <n v="7071.75"/>
    <n v="2178.25"/>
    <s v="Online"/>
    <m/>
    <m/>
    <m/>
    <m/>
  </r>
  <r>
    <n v="1184"/>
    <x v="183"/>
    <s v="Customer 37"/>
    <x v="4"/>
    <x v="2"/>
    <x v="1"/>
    <x v="1"/>
    <n v="2"/>
    <n v="880"/>
    <n v="0.1"/>
    <n v="1584"/>
    <n v="1207.1199999999999"/>
    <n v="376.88"/>
    <s v="Card"/>
    <m/>
    <m/>
    <m/>
    <m/>
  </r>
  <r>
    <n v="1185"/>
    <x v="184"/>
    <s v="Customer 44"/>
    <x v="2"/>
    <x v="3"/>
    <x v="1"/>
    <x v="1"/>
    <n v="4"/>
    <n v="330"/>
    <n v="0.15"/>
    <n v="1122"/>
    <n v="883.93"/>
    <n v="238.07"/>
    <s v="Card"/>
    <m/>
    <m/>
    <m/>
    <m/>
  </r>
  <r>
    <n v="1186"/>
    <x v="185"/>
    <s v="Customer 64"/>
    <x v="4"/>
    <x v="3"/>
    <x v="2"/>
    <x v="2"/>
    <n v="1"/>
    <n v="720"/>
    <n v="0.05"/>
    <n v="684"/>
    <n v="448.83"/>
    <n v="235.17"/>
    <s v="Online"/>
    <m/>
    <m/>
    <m/>
    <m/>
  </r>
  <r>
    <n v="1187"/>
    <x v="186"/>
    <s v="Customer 79"/>
    <x v="4"/>
    <x v="2"/>
    <x v="2"/>
    <x v="2"/>
    <n v="5"/>
    <n v="860"/>
    <n v="0.05"/>
    <n v="4085"/>
    <n v="3099"/>
    <n v="986"/>
    <s v="Card"/>
    <m/>
    <m/>
    <m/>
    <m/>
  </r>
  <r>
    <n v="1188"/>
    <x v="187"/>
    <s v="Customer 25"/>
    <x v="2"/>
    <x v="0"/>
    <x v="1"/>
    <x v="1"/>
    <n v="4"/>
    <n v="1380"/>
    <n v="0.1"/>
    <n v="4968"/>
    <n v="3712.66"/>
    <n v="1255.3399999999999"/>
    <s v="Cash"/>
    <m/>
    <m/>
    <m/>
    <m/>
  </r>
  <r>
    <n v="1189"/>
    <x v="188"/>
    <s v="Customer 56"/>
    <x v="2"/>
    <x v="1"/>
    <x v="2"/>
    <x v="2"/>
    <n v="1"/>
    <n v="1590"/>
    <n v="0"/>
    <n v="1590"/>
    <n v="1014.52"/>
    <n v="575.48"/>
    <s v="Online"/>
    <m/>
    <m/>
    <m/>
    <m/>
  </r>
  <r>
    <n v="1190"/>
    <x v="189"/>
    <s v="Customer 4"/>
    <x v="0"/>
    <x v="3"/>
    <x v="0"/>
    <x v="4"/>
    <n v="5"/>
    <n v="1560"/>
    <n v="0.05"/>
    <n v="7410"/>
    <n v="4175.32"/>
    <n v="3234.68"/>
    <s v="Online"/>
    <m/>
    <m/>
    <m/>
    <m/>
  </r>
  <r>
    <n v="1191"/>
    <x v="190"/>
    <s v="Customer 2"/>
    <x v="4"/>
    <x v="0"/>
    <x v="1"/>
    <x v="5"/>
    <n v="1"/>
    <n v="630"/>
    <n v="0.15"/>
    <n v="535.5"/>
    <n v="294.31"/>
    <n v="241.19"/>
    <s v="Card"/>
    <m/>
    <m/>
    <m/>
    <m/>
  </r>
  <r>
    <n v="1192"/>
    <x v="191"/>
    <s v="Customer 19"/>
    <x v="4"/>
    <x v="3"/>
    <x v="0"/>
    <x v="0"/>
    <n v="4"/>
    <n v="270"/>
    <n v="0.1"/>
    <n v="972"/>
    <n v="781.83"/>
    <n v="190.17"/>
    <s v="Online"/>
    <m/>
    <m/>
    <m/>
    <m/>
  </r>
  <r>
    <n v="1193"/>
    <x v="192"/>
    <s v="Customer 16"/>
    <x v="2"/>
    <x v="0"/>
    <x v="1"/>
    <x v="1"/>
    <n v="2"/>
    <n v="800"/>
    <n v="0.05"/>
    <n v="1520"/>
    <n v="1294.4000000000001"/>
    <n v="225.6"/>
    <s v="Card"/>
    <m/>
    <m/>
    <m/>
    <m/>
  </r>
  <r>
    <n v="1194"/>
    <x v="193"/>
    <s v="Customer 18"/>
    <x v="1"/>
    <x v="3"/>
    <x v="0"/>
    <x v="4"/>
    <n v="2"/>
    <n v="660"/>
    <n v="0"/>
    <n v="1320"/>
    <n v="1038.6600000000001"/>
    <n v="281.33999999999997"/>
    <s v="Online"/>
    <m/>
    <m/>
    <m/>
    <m/>
  </r>
  <r>
    <n v="1195"/>
    <x v="194"/>
    <s v="Customer 47"/>
    <x v="4"/>
    <x v="2"/>
    <x v="2"/>
    <x v="2"/>
    <n v="5"/>
    <n v="1040"/>
    <n v="0.05"/>
    <n v="4940"/>
    <n v="2702.97"/>
    <n v="2237.0300000000002"/>
    <s v="Cash"/>
    <m/>
    <m/>
    <m/>
    <m/>
  </r>
  <r>
    <n v="1196"/>
    <x v="195"/>
    <s v="Customer 40"/>
    <x v="1"/>
    <x v="0"/>
    <x v="2"/>
    <x v="2"/>
    <n v="2"/>
    <n v="980"/>
    <n v="0.1"/>
    <n v="1764"/>
    <n v="1068.03"/>
    <n v="695.97"/>
    <s v="Cash"/>
    <m/>
    <m/>
    <m/>
    <m/>
  </r>
  <r>
    <n v="1197"/>
    <x v="196"/>
    <s v="Customer 31"/>
    <x v="4"/>
    <x v="2"/>
    <x v="0"/>
    <x v="4"/>
    <n v="1"/>
    <n v="1650"/>
    <n v="0.05"/>
    <n v="1567.5"/>
    <n v="983.74"/>
    <n v="583.76"/>
    <s v="Cash"/>
    <m/>
    <m/>
    <m/>
    <m/>
  </r>
  <r>
    <n v="1198"/>
    <x v="197"/>
    <s v="Customer 29"/>
    <x v="3"/>
    <x v="3"/>
    <x v="1"/>
    <x v="5"/>
    <n v="3"/>
    <n v="280"/>
    <n v="0.05"/>
    <n v="798"/>
    <n v="420.9"/>
    <n v="377.1"/>
    <s v="Online"/>
    <m/>
    <m/>
    <m/>
    <m/>
  </r>
  <r>
    <n v="1199"/>
    <x v="198"/>
    <s v="Customer 76"/>
    <x v="4"/>
    <x v="1"/>
    <x v="2"/>
    <x v="2"/>
    <n v="1"/>
    <n v="380"/>
    <n v="0.1"/>
    <n v="342"/>
    <n v="241.47"/>
    <n v="100.53"/>
    <s v="Cash"/>
    <m/>
    <m/>
    <m/>
    <m/>
  </r>
  <r>
    <n v="1200"/>
    <x v="199"/>
    <s v="Customer 11"/>
    <x v="2"/>
    <x v="2"/>
    <x v="0"/>
    <x v="0"/>
    <n v="4"/>
    <n v="760"/>
    <n v="0.05"/>
    <n v="2888"/>
    <n v="1927.9"/>
    <n v="960.1"/>
    <s v="Online"/>
    <m/>
    <m/>
    <m/>
    <m/>
  </r>
  <r>
    <n v="1201"/>
    <x v="200"/>
    <s v="Customer 67"/>
    <x v="1"/>
    <x v="0"/>
    <x v="0"/>
    <x v="0"/>
    <n v="4"/>
    <n v="1550"/>
    <n v="0.05"/>
    <n v="5890"/>
    <n v="4583.7"/>
    <n v="1306.3"/>
    <s v="Card"/>
    <m/>
    <m/>
    <m/>
    <m/>
  </r>
  <r>
    <n v="1202"/>
    <x v="201"/>
    <s v="Customer 22"/>
    <x v="0"/>
    <x v="3"/>
    <x v="0"/>
    <x v="0"/>
    <n v="4"/>
    <n v="950"/>
    <n v="0"/>
    <n v="3800"/>
    <n v="2751.48"/>
    <n v="1048.52"/>
    <s v="Card"/>
    <m/>
    <m/>
    <m/>
    <m/>
  </r>
  <r>
    <n v="1203"/>
    <x v="202"/>
    <s v="Customer 24"/>
    <x v="2"/>
    <x v="0"/>
    <x v="2"/>
    <x v="3"/>
    <n v="1"/>
    <n v="1650"/>
    <n v="0.15"/>
    <n v="1402.5"/>
    <n v="929.86"/>
    <n v="472.64"/>
    <s v="Cash"/>
    <m/>
    <m/>
    <m/>
    <m/>
  </r>
  <r>
    <n v="1204"/>
    <x v="203"/>
    <s v="Customer 3"/>
    <x v="2"/>
    <x v="1"/>
    <x v="1"/>
    <x v="5"/>
    <n v="1"/>
    <n v="1900"/>
    <n v="0.05"/>
    <n v="1805"/>
    <n v="1347.24"/>
    <n v="457.76"/>
    <s v="Online"/>
    <m/>
    <m/>
    <m/>
    <m/>
  </r>
  <r>
    <n v="1205"/>
    <x v="204"/>
    <s v="Customer 46"/>
    <x v="2"/>
    <x v="3"/>
    <x v="1"/>
    <x v="5"/>
    <n v="3"/>
    <n v="1340"/>
    <n v="0"/>
    <n v="4020"/>
    <n v="3422.54"/>
    <n v="597.46"/>
    <s v="Online"/>
    <m/>
    <m/>
    <m/>
    <m/>
  </r>
  <r>
    <n v="1206"/>
    <x v="205"/>
    <s v="Customer 17"/>
    <x v="4"/>
    <x v="0"/>
    <x v="1"/>
    <x v="1"/>
    <n v="5"/>
    <n v="1550"/>
    <n v="0"/>
    <n v="7750"/>
    <n v="6109.97"/>
    <n v="1640.03"/>
    <s v="Card"/>
    <m/>
    <m/>
    <m/>
    <m/>
  </r>
  <r>
    <n v="1207"/>
    <x v="206"/>
    <s v="Customer 78"/>
    <x v="3"/>
    <x v="0"/>
    <x v="2"/>
    <x v="2"/>
    <n v="4"/>
    <n v="350"/>
    <n v="0"/>
    <n v="1400"/>
    <n v="1123.75"/>
    <n v="276.25"/>
    <s v="Online"/>
    <m/>
    <m/>
    <m/>
    <m/>
  </r>
  <r>
    <n v="1208"/>
    <x v="207"/>
    <s v="Customer 34"/>
    <x v="1"/>
    <x v="1"/>
    <x v="0"/>
    <x v="4"/>
    <n v="1"/>
    <n v="570"/>
    <n v="0"/>
    <n v="570"/>
    <n v="358.32"/>
    <n v="211.68"/>
    <s v="Card"/>
    <m/>
    <m/>
    <m/>
    <m/>
  </r>
  <r>
    <n v="1209"/>
    <x v="208"/>
    <s v="Customer 65"/>
    <x v="4"/>
    <x v="0"/>
    <x v="2"/>
    <x v="2"/>
    <n v="4"/>
    <n v="1240"/>
    <n v="0"/>
    <n v="4960"/>
    <n v="3091.82"/>
    <n v="1868.18"/>
    <s v="Card"/>
    <m/>
    <m/>
    <m/>
    <m/>
  </r>
  <r>
    <n v="1210"/>
    <x v="209"/>
    <s v="Customer 68"/>
    <x v="1"/>
    <x v="2"/>
    <x v="1"/>
    <x v="1"/>
    <n v="5"/>
    <n v="270"/>
    <n v="0.05"/>
    <n v="1282.5"/>
    <n v="751.78"/>
    <n v="530.72"/>
    <s v="Card"/>
    <m/>
    <m/>
    <m/>
    <m/>
  </r>
  <r>
    <n v="1211"/>
    <x v="210"/>
    <s v="Customer 19"/>
    <x v="4"/>
    <x v="0"/>
    <x v="0"/>
    <x v="0"/>
    <n v="2"/>
    <n v="1230"/>
    <n v="0.15"/>
    <n v="2091"/>
    <n v="1174.73"/>
    <n v="916.27"/>
    <s v="Card"/>
    <m/>
    <m/>
    <m/>
    <m/>
  </r>
  <r>
    <n v="1212"/>
    <x v="211"/>
    <s v="Customer 44"/>
    <x v="0"/>
    <x v="1"/>
    <x v="1"/>
    <x v="5"/>
    <n v="2"/>
    <n v="350"/>
    <n v="0.05"/>
    <n v="665"/>
    <n v="594.66999999999996"/>
    <n v="70.33"/>
    <s v="Cash"/>
    <m/>
    <m/>
    <m/>
    <m/>
  </r>
  <r>
    <n v="1213"/>
    <x v="212"/>
    <s v="Customer 2"/>
    <x v="1"/>
    <x v="3"/>
    <x v="0"/>
    <x v="4"/>
    <n v="4"/>
    <n v="1540"/>
    <n v="0"/>
    <n v="6160"/>
    <n v="4107.28"/>
    <n v="2052.7199999999998"/>
    <s v="Online"/>
    <m/>
    <m/>
    <m/>
    <m/>
  </r>
  <r>
    <n v="1214"/>
    <x v="213"/>
    <s v="Customer 11"/>
    <x v="4"/>
    <x v="1"/>
    <x v="2"/>
    <x v="3"/>
    <n v="3"/>
    <n v="400"/>
    <n v="0"/>
    <n v="1200"/>
    <n v="890.97"/>
    <n v="309.02999999999997"/>
    <s v="Online"/>
    <m/>
    <m/>
    <m/>
    <m/>
  </r>
  <r>
    <n v="1215"/>
    <x v="214"/>
    <s v="Customer 40"/>
    <x v="3"/>
    <x v="2"/>
    <x v="0"/>
    <x v="0"/>
    <n v="5"/>
    <n v="1230"/>
    <n v="0.05"/>
    <n v="5842.5"/>
    <n v="4735.12"/>
    <n v="1107.3800000000001"/>
    <s v="Card"/>
    <m/>
    <m/>
    <m/>
    <m/>
  </r>
  <r>
    <n v="1216"/>
    <x v="215"/>
    <s v="Customer 37"/>
    <x v="3"/>
    <x v="1"/>
    <x v="2"/>
    <x v="2"/>
    <n v="2"/>
    <n v="910"/>
    <n v="0"/>
    <n v="1820"/>
    <n v="1071.21"/>
    <n v="748.79"/>
    <s v="Card"/>
    <m/>
    <m/>
    <m/>
    <m/>
  </r>
  <r>
    <n v="1217"/>
    <x v="216"/>
    <s v="Customer 67"/>
    <x v="0"/>
    <x v="1"/>
    <x v="0"/>
    <x v="4"/>
    <n v="1"/>
    <n v="1040"/>
    <n v="0.05"/>
    <n v="988"/>
    <n v="841.46"/>
    <n v="146.54"/>
    <s v="Online"/>
    <m/>
    <m/>
    <m/>
    <m/>
  </r>
  <r>
    <n v="1218"/>
    <x v="217"/>
    <s v="Customer 39"/>
    <x v="1"/>
    <x v="0"/>
    <x v="0"/>
    <x v="4"/>
    <n v="3"/>
    <n v="810"/>
    <n v="0.05"/>
    <n v="2308.5"/>
    <n v="1449.51"/>
    <n v="858.99"/>
    <s v="Online"/>
    <m/>
    <m/>
    <m/>
    <m/>
  </r>
  <r>
    <n v="1219"/>
    <x v="218"/>
    <s v="Customer 14"/>
    <x v="1"/>
    <x v="3"/>
    <x v="1"/>
    <x v="1"/>
    <n v="4"/>
    <n v="650"/>
    <n v="0"/>
    <n v="2600"/>
    <n v="1647.48"/>
    <n v="952.52"/>
    <s v="Online"/>
    <m/>
    <m/>
    <m/>
    <m/>
  </r>
  <r>
    <n v="1220"/>
    <x v="219"/>
    <s v="Customer 63"/>
    <x v="0"/>
    <x v="0"/>
    <x v="1"/>
    <x v="1"/>
    <n v="5"/>
    <n v="860"/>
    <n v="0.05"/>
    <n v="4085"/>
    <n v="2380.5500000000002"/>
    <n v="1704.45"/>
    <s v="Cash"/>
    <m/>
    <m/>
    <m/>
    <m/>
  </r>
  <r>
    <n v="1221"/>
    <x v="220"/>
    <s v="Customer 8"/>
    <x v="2"/>
    <x v="0"/>
    <x v="2"/>
    <x v="3"/>
    <n v="2"/>
    <n v="1520"/>
    <n v="0.05"/>
    <n v="2888"/>
    <n v="2113.0100000000002"/>
    <n v="774.99"/>
    <s v="Cash"/>
    <m/>
    <m/>
    <m/>
    <m/>
  </r>
  <r>
    <n v="1222"/>
    <x v="221"/>
    <s v="Customer 1"/>
    <x v="3"/>
    <x v="0"/>
    <x v="2"/>
    <x v="3"/>
    <n v="3"/>
    <n v="1340"/>
    <n v="0.1"/>
    <n v="3618"/>
    <n v="2791.84"/>
    <n v="826.16"/>
    <s v="Online"/>
    <m/>
    <m/>
    <m/>
    <m/>
  </r>
  <r>
    <n v="1223"/>
    <x v="222"/>
    <s v="Customer 23"/>
    <x v="0"/>
    <x v="2"/>
    <x v="2"/>
    <x v="2"/>
    <n v="5"/>
    <n v="660"/>
    <n v="0.15"/>
    <n v="2805"/>
    <n v="1642.66"/>
    <n v="1162.3399999999999"/>
    <s v="Online"/>
    <m/>
    <m/>
    <m/>
    <m/>
  </r>
  <r>
    <n v="1224"/>
    <x v="223"/>
    <s v="Customer 51"/>
    <x v="0"/>
    <x v="0"/>
    <x v="1"/>
    <x v="1"/>
    <n v="5"/>
    <n v="1840"/>
    <n v="0.1"/>
    <n v="8280"/>
    <n v="6659.1"/>
    <n v="1620.9"/>
    <s v="Online"/>
    <m/>
    <m/>
    <m/>
    <m/>
  </r>
  <r>
    <n v="1225"/>
    <x v="224"/>
    <s v="Customer 76"/>
    <x v="4"/>
    <x v="1"/>
    <x v="0"/>
    <x v="4"/>
    <n v="5"/>
    <n v="520"/>
    <n v="0.05"/>
    <n v="2470"/>
    <n v="1498.16"/>
    <n v="971.84"/>
    <s v="Cash"/>
    <m/>
    <m/>
    <m/>
    <m/>
  </r>
  <r>
    <n v="1226"/>
    <x v="225"/>
    <s v="Customer 79"/>
    <x v="0"/>
    <x v="1"/>
    <x v="2"/>
    <x v="3"/>
    <n v="3"/>
    <n v="790"/>
    <n v="0.1"/>
    <n v="2133"/>
    <n v="1387.65"/>
    <n v="745.35"/>
    <s v="Card"/>
    <m/>
    <m/>
    <m/>
    <m/>
  </r>
  <r>
    <n v="1227"/>
    <x v="226"/>
    <s v="Customer 7"/>
    <x v="2"/>
    <x v="1"/>
    <x v="1"/>
    <x v="5"/>
    <n v="2"/>
    <n v="1860"/>
    <n v="0.15"/>
    <n v="3162"/>
    <n v="1704.63"/>
    <n v="1457.37"/>
    <s v="Card"/>
    <m/>
    <m/>
    <m/>
    <m/>
  </r>
  <r>
    <n v="1228"/>
    <x v="227"/>
    <s v="Customer 31"/>
    <x v="4"/>
    <x v="0"/>
    <x v="0"/>
    <x v="4"/>
    <n v="4"/>
    <n v="1200"/>
    <n v="0"/>
    <n v="4800"/>
    <n v="2484.39"/>
    <n v="2315.61"/>
    <s v="Card"/>
    <m/>
    <m/>
    <m/>
    <m/>
  </r>
  <r>
    <n v="1229"/>
    <x v="228"/>
    <s v="Customer 68"/>
    <x v="2"/>
    <x v="0"/>
    <x v="2"/>
    <x v="3"/>
    <n v="5"/>
    <n v="270"/>
    <n v="0.15"/>
    <n v="1147.5"/>
    <n v="711.71"/>
    <n v="435.79"/>
    <s v="Card"/>
    <m/>
    <m/>
    <m/>
    <m/>
  </r>
  <r>
    <n v="1230"/>
    <x v="229"/>
    <s v="Customer 63"/>
    <x v="1"/>
    <x v="1"/>
    <x v="2"/>
    <x v="3"/>
    <n v="3"/>
    <n v="360"/>
    <n v="0.15"/>
    <n v="918"/>
    <n v="762.14"/>
    <n v="155.86000000000001"/>
    <s v="Cash"/>
    <m/>
    <m/>
    <m/>
    <m/>
  </r>
  <r>
    <n v="1231"/>
    <x v="230"/>
    <s v="Customer 43"/>
    <x v="1"/>
    <x v="1"/>
    <x v="0"/>
    <x v="4"/>
    <n v="2"/>
    <n v="470"/>
    <n v="0"/>
    <n v="940"/>
    <n v="740.74"/>
    <n v="199.26"/>
    <s v="Online"/>
    <m/>
    <m/>
    <m/>
    <m/>
  </r>
  <r>
    <n v="1232"/>
    <x v="231"/>
    <s v="Customer 23"/>
    <x v="2"/>
    <x v="3"/>
    <x v="0"/>
    <x v="0"/>
    <n v="2"/>
    <n v="1820"/>
    <n v="0"/>
    <n v="3640"/>
    <n v="2895.84"/>
    <n v="744.16"/>
    <s v="Card"/>
    <m/>
    <m/>
    <m/>
    <m/>
  </r>
  <r>
    <n v="1233"/>
    <x v="232"/>
    <s v="Customer 11"/>
    <x v="3"/>
    <x v="3"/>
    <x v="0"/>
    <x v="4"/>
    <n v="2"/>
    <n v="1560"/>
    <n v="0"/>
    <n v="3120"/>
    <n v="2477.54"/>
    <n v="642.46"/>
    <s v="Online"/>
    <m/>
    <m/>
    <m/>
    <m/>
  </r>
  <r>
    <n v="1234"/>
    <x v="233"/>
    <s v="Customer 52"/>
    <x v="1"/>
    <x v="0"/>
    <x v="0"/>
    <x v="4"/>
    <n v="1"/>
    <n v="1860"/>
    <n v="0"/>
    <n v="1860"/>
    <n v="1348.02"/>
    <n v="511.98"/>
    <s v="Cash"/>
    <m/>
    <m/>
    <m/>
    <m/>
  </r>
  <r>
    <n v="1235"/>
    <x v="234"/>
    <s v="Customer 23"/>
    <x v="2"/>
    <x v="3"/>
    <x v="2"/>
    <x v="2"/>
    <n v="5"/>
    <n v="1350"/>
    <n v="0.05"/>
    <n v="6412.5"/>
    <n v="4086.55"/>
    <n v="2325.9499999999998"/>
    <s v="Cash"/>
    <m/>
    <m/>
    <m/>
    <m/>
  </r>
  <r>
    <n v="1236"/>
    <x v="235"/>
    <s v="Customer 70"/>
    <x v="0"/>
    <x v="2"/>
    <x v="0"/>
    <x v="4"/>
    <n v="3"/>
    <n v="1940"/>
    <n v="0.05"/>
    <n v="5529"/>
    <n v="4798.43"/>
    <n v="730.57"/>
    <s v="Online"/>
    <m/>
    <m/>
    <m/>
    <m/>
  </r>
  <r>
    <n v="1237"/>
    <x v="236"/>
    <s v="Customer 70"/>
    <x v="3"/>
    <x v="0"/>
    <x v="1"/>
    <x v="1"/>
    <n v="5"/>
    <n v="1980"/>
    <n v="0.15"/>
    <n v="8415"/>
    <n v="5716.81"/>
    <n v="2698.19"/>
    <s v="Card"/>
    <m/>
    <m/>
    <m/>
    <m/>
  </r>
  <r>
    <n v="1238"/>
    <x v="237"/>
    <s v="Customer 49"/>
    <x v="0"/>
    <x v="3"/>
    <x v="1"/>
    <x v="1"/>
    <n v="5"/>
    <n v="720"/>
    <n v="0"/>
    <n v="3600"/>
    <n v="2229.13"/>
    <n v="1370.87"/>
    <s v="Online"/>
    <m/>
    <m/>
    <m/>
    <m/>
  </r>
  <r>
    <n v="1239"/>
    <x v="238"/>
    <s v="Customer 33"/>
    <x v="1"/>
    <x v="0"/>
    <x v="0"/>
    <x v="0"/>
    <n v="1"/>
    <n v="510"/>
    <n v="0.05"/>
    <n v="484.5"/>
    <n v="256.38"/>
    <n v="228.12"/>
    <s v="Cash"/>
    <m/>
    <m/>
    <m/>
    <m/>
  </r>
  <r>
    <n v="1240"/>
    <x v="239"/>
    <s v="Customer 11"/>
    <x v="2"/>
    <x v="2"/>
    <x v="0"/>
    <x v="0"/>
    <n v="2"/>
    <n v="870"/>
    <n v="0.1"/>
    <n v="1566"/>
    <n v="1392.85"/>
    <n v="173.15"/>
    <s v="Online"/>
    <m/>
    <m/>
    <m/>
    <m/>
  </r>
  <r>
    <n v="1241"/>
    <x v="240"/>
    <s v="Customer 52"/>
    <x v="1"/>
    <x v="3"/>
    <x v="0"/>
    <x v="0"/>
    <n v="4"/>
    <n v="1080"/>
    <n v="0"/>
    <n v="4320"/>
    <n v="2285.9299999999998"/>
    <n v="2034.07"/>
    <s v="Card"/>
    <m/>
    <m/>
    <m/>
    <m/>
  </r>
  <r>
    <n v="1242"/>
    <x v="241"/>
    <s v="Customer 73"/>
    <x v="4"/>
    <x v="1"/>
    <x v="1"/>
    <x v="1"/>
    <n v="3"/>
    <n v="1770"/>
    <n v="0.15"/>
    <n v="4513.5"/>
    <n v="3325.56"/>
    <n v="1187.94"/>
    <s v="Card"/>
    <m/>
    <m/>
    <m/>
    <m/>
  </r>
  <r>
    <n v="1243"/>
    <x v="242"/>
    <s v="Customer 57"/>
    <x v="4"/>
    <x v="3"/>
    <x v="1"/>
    <x v="1"/>
    <n v="1"/>
    <n v="1260"/>
    <n v="0.15"/>
    <n v="1071"/>
    <n v="722.97"/>
    <n v="348.03"/>
    <s v="Cash"/>
    <m/>
    <m/>
    <m/>
    <m/>
  </r>
  <r>
    <n v="1244"/>
    <x v="243"/>
    <s v="Customer 51"/>
    <x v="0"/>
    <x v="3"/>
    <x v="0"/>
    <x v="0"/>
    <n v="5"/>
    <n v="1480"/>
    <n v="0.05"/>
    <n v="7030"/>
    <n v="5715.7"/>
    <n v="1314.3"/>
    <s v="Cash"/>
    <m/>
    <m/>
    <m/>
    <m/>
  </r>
  <r>
    <n v="1245"/>
    <x v="244"/>
    <s v="Customer 6"/>
    <x v="4"/>
    <x v="0"/>
    <x v="2"/>
    <x v="3"/>
    <n v="2"/>
    <n v="1480"/>
    <n v="0.05"/>
    <n v="2812"/>
    <n v="2427.0700000000002"/>
    <n v="384.93"/>
    <s v="Online"/>
    <m/>
    <m/>
    <m/>
    <m/>
  </r>
  <r>
    <n v="1246"/>
    <x v="245"/>
    <s v="Customer 7"/>
    <x v="0"/>
    <x v="3"/>
    <x v="2"/>
    <x v="2"/>
    <n v="2"/>
    <n v="1820"/>
    <n v="0.1"/>
    <n v="3276"/>
    <n v="1660.2"/>
    <n v="1615.8"/>
    <s v="Card"/>
    <m/>
    <m/>
    <m/>
    <m/>
  </r>
  <r>
    <n v="1247"/>
    <x v="246"/>
    <s v="Customer 6"/>
    <x v="1"/>
    <x v="2"/>
    <x v="1"/>
    <x v="1"/>
    <n v="4"/>
    <n v="680"/>
    <n v="0"/>
    <n v="2720"/>
    <n v="1901.18"/>
    <n v="818.82"/>
    <s v="Online"/>
    <m/>
    <m/>
    <m/>
    <m/>
  </r>
  <r>
    <n v="1248"/>
    <x v="247"/>
    <s v="Customer 5"/>
    <x v="4"/>
    <x v="0"/>
    <x v="2"/>
    <x v="3"/>
    <n v="1"/>
    <n v="1850"/>
    <n v="0.05"/>
    <n v="1757.5"/>
    <n v="1427.62"/>
    <n v="329.88"/>
    <s v="Card"/>
    <m/>
    <m/>
    <m/>
    <m/>
  </r>
  <r>
    <n v="1249"/>
    <x v="248"/>
    <s v="Customer 22"/>
    <x v="1"/>
    <x v="2"/>
    <x v="1"/>
    <x v="5"/>
    <n v="1"/>
    <n v="1010"/>
    <n v="0.05"/>
    <n v="959.5"/>
    <n v="484.39"/>
    <n v="475.11"/>
    <s v="Online"/>
    <m/>
    <m/>
    <m/>
    <m/>
  </r>
  <r>
    <n v="1250"/>
    <x v="249"/>
    <s v="Customer 53"/>
    <x v="1"/>
    <x v="3"/>
    <x v="1"/>
    <x v="1"/>
    <n v="4"/>
    <n v="1660"/>
    <n v="0.05"/>
    <n v="6308"/>
    <n v="4079.23"/>
    <n v="2228.77"/>
    <s v="Cash"/>
    <m/>
    <m/>
    <m/>
    <m/>
  </r>
  <r>
    <n v="1251"/>
    <x v="250"/>
    <s v="Customer 76"/>
    <x v="3"/>
    <x v="0"/>
    <x v="0"/>
    <x v="4"/>
    <n v="1"/>
    <n v="390"/>
    <n v="0.1"/>
    <n v="351"/>
    <n v="192.26"/>
    <n v="158.74"/>
    <s v="Cash"/>
    <m/>
    <m/>
    <m/>
    <m/>
  </r>
  <r>
    <n v="1252"/>
    <x v="251"/>
    <s v="Customer 75"/>
    <x v="4"/>
    <x v="3"/>
    <x v="2"/>
    <x v="3"/>
    <n v="5"/>
    <n v="1680"/>
    <n v="0.15"/>
    <n v="7140"/>
    <n v="6297.01"/>
    <n v="842.99"/>
    <s v="Cash"/>
    <m/>
    <m/>
    <m/>
    <m/>
  </r>
  <r>
    <n v="1253"/>
    <x v="252"/>
    <s v="Customer 60"/>
    <x v="3"/>
    <x v="3"/>
    <x v="0"/>
    <x v="0"/>
    <n v="5"/>
    <n v="1250"/>
    <n v="0.15"/>
    <n v="5312.5"/>
    <n v="3625.56"/>
    <n v="1686.94"/>
    <s v="Online"/>
    <m/>
    <m/>
    <m/>
    <m/>
  </r>
  <r>
    <n v="1254"/>
    <x v="253"/>
    <s v="Customer 55"/>
    <x v="0"/>
    <x v="1"/>
    <x v="1"/>
    <x v="1"/>
    <n v="5"/>
    <n v="540"/>
    <n v="0"/>
    <n v="2700"/>
    <n v="2311.94"/>
    <n v="388.06"/>
    <s v="Cash"/>
    <m/>
    <m/>
    <m/>
    <m/>
  </r>
  <r>
    <n v="1255"/>
    <x v="254"/>
    <s v="Customer 24"/>
    <x v="1"/>
    <x v="0"/>
    <x v="1"/>
    <x v="5"/>
    <n v="4"/>
    <n v="830"/>
    <n v="0.05"/>
    <n v="3154"/>
    <n v="2573.27"/>
    <n v="580.73"/>
    <s v="Card"/>
    <m/>
    <m/>
    <m/>
    <m/>
  </r>
  <r>
    <n v="1256"/>
    <x v="255"/>
    <s v="Customer 2"/>
    <x v="2"/>
    <x v="1"/>
    <x v="0"/>
    <x v="4"/>
    <n v="4"/>
    <n v="970"/>
    <n v="0.15"/>
    <n v="3298"/>
    <n v="1849.52"/>
    <n v="1448.48"/>
    <s v="Card"/>
    <m/>
    <m/>
    <m/>
    <m/>
  </r>
  <r>
    <n v="1257"/>
    <x v="256"/>
    <s v="Customer 69"/>
    <x v="1"/>
    <x v="0"/>
    <x v="0"/>
    <x v="0"/>
    <n v="4"/>
    <n v="1410"/>
    <n v="0"/>
    <n v="5640"/>
    <n v="2957.64"/>
    <n v="2682.36"/>
    <s v="Cash"/>
    <m/>
    <m/>
    <m/>
    <m/>
  </r>
  <r>
    <n v="1258"/>
    <x v="257"/>
    <s v="Customer 41"/>
    <x v="1"/>
    <x v="1"/>
    <x v="2"/>
    <x v="3"/>
    <n v="2"/>
    <n v="270"/>
    <n v="0"/>
    <n v="540"/>
    <n v="314.25"/>
    <n v="225.75"/>
    <s v="Cash"/>
    <m/>
    <m/>
    <m/>
    <m/>
  </r>
  <r>
    <n v="1259"/>
    <x v="258"/>
    <s v="Customer 36"/>
    <x v="4"/>
    <x v="0"/>
    <x v="2"/>
    <x v="2"/>
    <n v="5"/>
    <n v="570"/>
    <n v="0.15"/>
    <n v="2422.5"/>
    <n v="1684.26"/>
    <n v="738.24"/>
    <s v="Online"/>
    <m/>
    <m/>
    <m/>
    <m/>
  </r>
  <r>
    <n v="1260"/>
    <x v="259"/>
    <s v="Customer 64"/>
    <x v="1"/>
    <x v="1"/>
    <x v="0"/>
    <x v="4"/>
    <n v="5"/>
    <n v="380"/>
    <n v="0.15"/>
    <n v="1615"/>
    <n v="1113.33"/>
    <n v="501.67"/>
    <s v="Cash"/>
    <m/>
    <m/>
    <m/>
    <m/>
  </r>
  <r>
    <n v="1261"/>
    <x v="260"/>
    <s v="Customer 7"/>
    <x v="4"/>
    <x v="0"/>
    <x v="1"/>
    <x v="5"/>
    <n v="5"/>
    <n v="400"/>
    <n v="0.1"/>
    <n v="1800"/>
    <n v="938.56"/>
    <n v="861.44"/>
    <s v="Cash"/>
    <m/>
    <m/>
    <m/>
    <m/>
  </r>
  <r>
    <n v="1262"/>
    <x v="261"/>
    <s v="Customer 19"/>
    <x v="0"/>
    <x v="2"/>
    <x v="2"/>
    <x v="2"/>
    <n v="2"/>
    <n v="390"/>
    <n v="0.1"/>
    <n v="702"/>
    <n v="583.33000000000004"/>
    <n v="118.67"/>
    <s v="Cash"/>
    <m/>
    <m/>
    <m/>
    <m/>
  </r>
  <r>
    <n v="1263"/>
    <x v="262"/>
    <s v="Customer 4"/>
    <x v="3"/>
    <x v="1"/>
    <x v="0"/>
    <x v="4"/>
    <n v="1"/>
    <n v="1610"/>
    <n v="0.15"/>
    <n v="1368.5"/>
    <n v="883.21"/>
    <n v="485.29"/>
    <s v="Online"/>
    <m/>
    <m/>
    <m/>
    <m/>
  </r>
  <r>
    <n v="1264"/>
    <x v="263"/>
    <s v="Customer 4"/>
    <x v="0"/>
    <x v="2"/>
    <x v="2"/>
    <x v="2"/>
    <n v="2"/>
    <n v="1230"/>
    <n v="0.05"/>
    <n v="2337"/>
    <n v="1299.08"/>
    <n v="1037.92"/>
    <s v="Card"/>
    <m/>
    <m/>
    <m/>
    <m/>
  </r>
  <r>
    <n v="1265"/>
    <x v="264"/>
    <s v="Customer 41"/>
    <x v="4"/>
    <x v="0"/>
    <x v="0"/>
    <x v="4"/>
    <n v="4"/>
    <n v="1030"/>
    <n v="0.05"/>
    <n v="3914"/>
    <n v="3187.16"/>
    <n v="726.84"/>
    <s v="Cash"/>
    <m/>
    <m/>
    <m/>
    <m/>
  </r>
  <r>
    <n v="1266"/>
    <x v="265"/>
    <s v="Customer 58"/>
    <x v="2"/>
    <x v="2"/>
    <x v="2"/>
    <x v="2"/>
    <n v="5"/>
    <n v="660"/>
    <n v="0"/>
    <n v="3300"/>
    <n v="2847.81"/>
    <n v="452.19"/>
    <s v="Online"/>
    <m/>
    <m/>
    <m/>
    <m/>
  </r>
  <r>
    <n v="1267"/>
    <x v="266"/>
    <s v="Customer 22"/>
    <x v="4"/>
    <x v="3"/>
    <x v="1"/>
    <x v="5"/>
    <n v="2"/>
    <n v="1580"/>
    <n v="0.05"/>
    <n v="3002"/>
    <n v="1561.53"/>
    <n v="1440.47"/>
    <s v="Card"/>
    <m/>
    <m/>
    <m/>
    <m/>
  </r>
  <r>
    <n v="1268"/>
    <x v="267"/>
    <s v="Customer 41"/>
    <x v="0"/>
    <x v="1"/>
    <x v="1"/>
    <x v="1"/>
    <n v="4"/>
    <n v="670"/>
    <n v="0.1"/>
    <n v="2412"/>
    <n v="1642.69"/>
    <n v="769.31"/>
    <s v="Card"/>
    <m/>
    <m/>
    <m/>
    <m/>
  </r>
  <r>
    <n v="1269"/>
    <x v="268"/>
    <s v="Customer 12"/>
    <x v="2"/>
    <x v="0"/>
    <x v="2"/>
    <x v="3"/>
    <n v="2"/>
    <n v="1420"/>
    <n v="0.1"/>
    <n v="2556"/>
    <n v="2100.41"/>
    <n v="455.59"/>
    <s v="Cash"/>
    <m/>
    <m/>
    <m/>
    <m/>
  </r>
  <r>
    <n v="1270"/>
    <x v="269"/>
    <s v="Customer 57"/>
    <x v="1"/>
    <x v="3"/>
    <x v="2"/>
    <x v="2"/>
    <n v="3"/>
    <n v="1530"/>
    <n v="0"/>
    <n v="4590"/>
    <n v="3731.65"/>
    <n v="858.35"/>
    <s v="Cash"/>
    <m/>
    <m/>
    <m/>
    <m/>
  </r>
  <r>
    <n v="1271"/>
    <x v="270"/>
    <s v="Customer 61"/>
    <x v="2"/>
    <x v="0"/>
    <x v="1"/>
    <x v="5"/>
    <n v="3"/>
    <n v="550"/>
    <n v="0.15"/>
    <n v="1402.5"/>
    <n v="858.32"/>
    <n v="544.17999999999995"/>
    <s v="Online"/>
    <m/>
    <m/>
    <m/>
    <m/>
  </r>
  <r>
    <n v="1272"/>
    <x v="271"/>
    <s v="Customer 57"/>
    <x v="2"/>
    <x v="0"/>
    <x v="0"/>
    <x v="0"/>
    <n v="1"/>
    <n v="900"/>
    <n v="0"/>
    <n v="900"/>
    <n v="789.74"/>
    <n v="110.26"/>
    <s v="Card"/>
    <m/>
    <m/>
    <m/>
    <m/>
  </r>
  <r>
    <n v="1273"/>
    <x v="272"/>
    <s v="Customer 55"/>
    <x v="3"/>
    <x v="3"/>
    <x v="2"/>
    <x v="2"/>
    <n v="3"/>
    <n v="520"/>
    <n v="0"/>
    <n v="1560"/>
    <n v="948.01"/>
    <n v="611.99"/>
    <s v="Online"/>
    <m/>
    <m/>
    <m/>
    <m/>
  </r>
  <r>
    <n v="1274"/>
    <x v="273"/>
    <s v="Customer 59"/>
    <x v="3"/>
    <x v="0"/>
    <x v="1"/>
    <x v="1"/>
    <n v="3"/>
    <n v="340"/>
    <n v="0"/>
    <n v="1020"/>
    <n v="855.99"/>
    <n v="164.01"/>
    <s v="Online"/>
    <m/>
    <m/>
    <m/>
    <m/>
  </r>
  <r>
    <n v="1275"/>
    <x v="274"/>
    <s v="Customer 46"/>
    <x v="3"/>
    <x v="0"/>
    <x v="1"/>
    <x v="5"/>
    <n v="1"/>
    <n v="860"/>
    <n v="0"/>
    <n v="860"/>
    <n v="441.54"/>
    <n v="418.46"/>
    <s v="Cash"/>
    <m/>
    <m/>
    <m/>
    <m/>
  </r>
  <r>
    <n v="1276"/>
    <x v="275"/>
    <s v="Customer 63"/>
    <x v="3"/>
    <x v="3"/>
    <x v="2"/>
    <x v="3"/>
    <n v="3"/>
    <n v="1110"/>
    <n v="0.05"/>
    <n v="3163.5"/>
    <n v="2019.33"/>
    <n v="1144.17"/>
    <s v="Card"/>
    <m/>
    <m/>
    <m/>
    <m/>
  </r>
  <r>
    <n v="1277"/>
    <x v="276"/>
    <s v="Customer 22"/>
    <x v="4"/>
    <x v="0"/>
    <x v="2"/>
    <x v="2"/>
    <n v="4"/>
    <n v="830"/>
    <n v="0.1"/>
    <n v="2988"/>
    <n v="1525.8"/>
    <n v="1462.2"/>
    <s v="Cash"/>
    <m/>
    <m/>
    <m/>
    <m/>
  </r>
  <r>
    <n v="1278"/>
    <x v="277"/>
    <s v="Customer 11"/>
    <x v="0"/>
    <x v="0"/>
    <x v="2"/>
    <x v="2"/>
    <n v="4"/>
    <n v="1570"/>
    <n v="0.15"/>
    <n v="5338"/>
    <n v="4019.72"/>
    <n v="1318.28"/>
    <s v="Card"/>
    <m/>
    <m/>
    <m/>
    <m/>
  </r>
  <r>
    <n v="1279"/>
    <x v="278"/>
    <s v="Customer 29"/>
    <x v="1"/>
    <x v="2"/>
    <x v="1"/>
    <x v="5"/>
    <n v="3"/>
    <n v="1710"/>
    <n v="0.05"/>
    <n v="4873.5"/>
    <n v="4030.59"/>
    <n v="842.91"/>
    <s v="Card"/>
    <m/>
    <m/>
    <m/>
    <m/>
  </r>
  <r>
    <n v="1280"/>
    <x v="279"/>
    <s v="Customer 66"/>
    <x v="3"/>
    <x v="2"/>
    <x v="2"/>
    <x v="3"/>
    <n v="2"/>
    <n v="970"/>
    <n v="0.15"/>
    <n v="1649"/>
    <n v="969.1"/>
    <n v="679.9"/>
    <s v="Card"/>
    <m/>
    <m/>
    <m/>
    <m/>
  </r>
  <r>
    <n v="1281"/>
    <x v="280"/>
    <s v="Customer 69"/>
    <x v="0"/>
    <x v="2"/>
    <x v="1"/>
    <x v="5"/>
    <n v="1"/>
    <n v="1870"/>
    <n v="0"/>
    <n v="1870"/>
    <n v="1322.55"/>
    <n v="547.45000000000005"/>
    <s v="Online"/>
    <m/>
    <m/>
    <m/>
    <m/>
  </r>
  <r>
    <n v="1282"/>
    <x v="281"/>
    <s v="Customer 70"/>
    <x v="4"/>
    <x v="1"/>
    <x v="1"/>
    <x v="5"/>
    <n v="1"/>
    <n v="1970"/>
    <n v="0.05"/>
    <n v="1871.5"/>
    <n v="1272.7"/>
    <n v="598.79999999999995"/>
    <s v="Online"/>
    <m/>
    <m/>
    <m/>
    <m/>
  </r>
  <r>
    <n v="1283"/>
    <x v="282"/>
    <s v="Customer 40"/>
    <x v="3"/>
    <x v="3"/>
    <x v="1"/>
    <x v="5"/>
    <n v="5"/>
    <n v="430"/>
    <n v="0.1"/>
    <n v="1935"/>
    <n v="1180.9000000000001"/>
    <n v="754.1"/>
    <s v="Card"/>
    <m/>
    <m/>
    <m/>
    <m/>
  </r>
  <r>
    <n v="1284"/>
    <x v="283"/>
    <s v="Customer 14"/>
    <x v="0"/>
    <x v="0"/>
    <x v="2"/>
    <x v="3"/>
    <n v="3"/>
    <n v="1500"/>
    <n v="0.1"/>
    <n v="4050"/>
    <n v="3481.82"/>
    <n v="568.17999999999995"/>
    <s v="Cash"/>
    <m/>
    <m/>
    <m/>
    <m/>
  </r>
  <r>
    <n v="1285"/>
    <x v="284"/>
    <s v="Customer 41"/>
    <x v="3"/>
    <x v="0"/>
    <x v="0"/>
    <x v="4"/>
    <n v="1"/>
    <n v="410"/>
    <n v="0.1"/>
    <n v="369"/>
    <n v="318.47000000000003"/>
    <n v="50.53"/>
    <s v="Card"/>
    <m/>
    <m/>
    <m/>
    <m/>
  </r>
  <r>
    <n v="1286"/>
    <x v="285"/>
    <s v="Customer 50"/>
    <x v="1"/>
    <x v="3"/>
    <x v="1"/>
    <x v="1"/>
    <n v="1"/>
    <n v="1870"/>
    <n v="0.15"/>
    <n v="1589.5"/>
    <n v="1092.23"/>
    <n v="497.27"/>
    <s v="Card"/>
    <m/>
    <m/>
    <m/>
    <m/>
  </r>
  <r>
    <n v="1287"/>
    <x v="286"/>
    <s v="Customer 59"/>
    <x v="2"/>
    <x v="3"/>
    <x v="1"/>
    <x v="5"/>
    <n v="3"/>
    <n v="1410"/>
    <n v="0.15"/>
    <n v="3595.5"/>
    <n v="2382.85"/>
    <n v="1212.6500000000001"/>
    <s v="Cash"/>
    <m/>
    <m/>
    <m/>
    <m/>
  </r>
  <r>
    <n v="1288"/>
    <x v="287"/>
    <s v="Customer 11"/>
    <x v="2"/>
    <x v="3"/>
    <x v="1"/>
    <x v="5"/>
    <n v="5"/>
    <n v="480"/>
    <n v="0.05"/>
    <n v="2280"/>
    <n v="1248.32"/>
    <n v="1031.68"/>
    <s v="Card"/>
    <m/>
    <m/>
    <m/>
    <m/>
  </r>
  <r>
    <n v="1289"/>
    <x v="288"/>
    <s v="Customer 38"/>
    <x v="4"/>
    <x v="3"/>
    <x v="1"/>
    <x v="5"/>
    <n v="3"/>
    <n v="1350"/>
    <n v="0"/>
    <n v="4050"/>
    <n v="3046.92"/>
    <n v="1003.08"/>
    <s v="Card"/>
    <m/>
    <m/>
    <m/>
    <m/>
  </r>
  <r>
    <n v="1290"/>
    <x v="289"/>
    <s v="Customer 40"/>
    <x v="0"/>
    <x v="1"/>
    <x v="2"/>
    <x v="3"/>
    <n v="1"/>
    <n v="1860"/>
    <n v="0.1"/>
    <n v="1674"/>
    <n v="1242.32"/>
    <n v="431.68"/>
    <s v="Online"/>
    <m/>
    <m/>
    <m/>
    <m/>
  </r>
  <r>
    <n v="1291"/>
    <x v="290"/>
    <s v="Customer 53"/>
    <x v="3"/>
    <x v="1"/>
    <x v="0"/>
    <x v="4"/>
    <n v="3"/>
    <n v="520"/>
    <n v="0"/>
    <n v="1560"/>
    <n v="1071.27"/>
    <n v="488.73"/>
    <s v="Online"/>
    <m/>
    <m/>
    <m/>
    <m/>
  </r>
  <r>
    <n v="1292"/>
    <x v="291"/>
    <s v="Customer 68"/>
    <x v="0"/>
    <x v="2"/>
    <x v="0"/>
    <x v="4"/>
    <n v="4"/>
    <n v="1840"/>
    <n v="0.05"/>
    <n v="6992"/>
    <n v="3587.58"/>
    <n v="3404.42"/>
    <s v="Cash"/>
    <m/>
    <m/>
    <m/>
    <m/>
  </r>
  <r>
    <n v="1293"/>
    <x v="292"/>
    <s v="Customer 12"/>
    <x v="1"/>
    <x v="3"/>
    <x v="1"/>
    <x v="5"/>
    <n v="3"/>
    <n v="1940"/>
    <n v="0.15"/>
    <n v="4947"/>
    <n v="3886.01"/>
    <n v="1060.99"/>
    <s v="Card"/>
    <m/>
    <m/>
    <m/>
    <m/>
  </r>
  <r>
    <n v="1294"/>
    <x v="293"/>
    <s v="Customer 73"/>
    <x v="1"/>
    <x v="0"/>
    <x v="2"/>
    <x v="2"/>
    <n v="4"/>
    <n v="1320"/>
    <n v="0"/>
    <n v="5280"/>
    <n v="3265.98"/>
    <n v="2014.02"/>
    <s v="Card"/>
    <m/>
    <m/>
    <m/>
    <m/>
  </r>
  <r>
    <n v="1295"/>
    <x v="294"/>
    <s v="Customer 41"/>
    <x v="4"/>
    <x v="1"/>
    <x v="1"/>
    <x v="1"/>
    <n v="4"/>
    <n v="1110"/>
    <n v="0.15"/>
    <n v="3774"/>
    <n v="2807.43"/>
    <n v="966.57"/>
    <s v="Cash"/>
    <m/>
    <m/>
    <m/>
    <m/>
  </r>
  <r>
    <n v="1296"/>
    <x v="295"/>
    <s v="Customer 48"/>
    <x v="1"/>
    <x v="3"/>
    <x v="1"/>
    <x v="5"/>
    <n v="1"/>
    <n v="1700"/>
    <n v="0.1"/>
    <n v="1530"/>
    <n v="1005.33"/>
    <n v="524.66999999999996"/>
    <s v="Online"/>
    <m/>
    <m/>
    <m/>
    <m/>
  </r>
  <r>
    <n v="1297"/>
    <x v="296"/>
    <s v="Customer 18"/>
    <x v="4"/>
    <x v="2"/>
    <x v="2"/>
    <x v="2"/>
    <n v="3"/>
    <n v="1240"/>
    <n v="0.1"/>
    <n v="3348"/>
    <n v="1730.93"/>
    <n v="1617.07"/>
    <s v="Cash"/>
    <m/>
    <m/>
    <m/>
    <m/>
  </r>
  <r>
    <n v="1298"/>
    <x v="297"/>
    <s v="Customer 47"/>
    <x v="4"/>
    <x v="3"/>
    <x v="1"/>
    <x v="1"/>
    <n v="1"/>
    <n v="1120"/>
    <n v="0.1"/>
    <n v="1008"/>
    <n v="646.6"/>
    <n v="361.4"/>
    <s v="Cash"/>
    <m/>
    <m/>
    <m/>
    <m/>
  </r>
  <r>
    <n v="1299"/>
    <x v="298"/>
    <s v="Customer 34"/>
    <x v="0"/>
    <x v="3"/>
    <x v="0"/>
    <x v="0"/>
    <n v="5"/>
    <n v="1280"/>
    <n v="0"/>
    <n v="6400"/>
    <n v="4427.01"/>
    <n v="1972.99"/>
    <s v="Card"/>
    <m/>
    <m/>
    <m/>
    <m/>
  </r>
  <r>
    <n v="1300"/>
    <x v="299"/>
    <s v="Customer 79"/>
    <x v="2"/>
    <x v="0"/>
    <x v="2"/>
    <x v="3"/>
    <n v="4"/>
    <n v="1740"/>
    <n v="0.1"/>
    <n v="6264"/>
    <n v="5268.4"/>
    <n v="995.6"/>
    <s v="Cash"/>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8383DE-77F9-4B03-A419-D164D88BC88D}"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0:H36" firstHeaderRow="1" firstDataRow="2" firstDataCol="1"/>
  <pivotFields count="20">
    <pivotField showAll="0"/>
    <pivotField numFmtId="164" showAll="0">
      <items count="15">
        <item x="0"/>
        <item x="1"/>
        <item x="2"/>
        <item x="3"/>
        <item x="4"/>
        <item x="5"/>
        <item x="6"/>
        <item x="7"/>
        <item x="8"/>
        <item x="9"/>
        <item x="10"/>
        <item x="11"/>
        <item x="12"/>
        <item x="13"/>
        <item t="default"/>
      </items>
    </pivotField>
    <pivotField showAll="0"/>
    <pivotField showAll="0">
      <items count="6">
        <item x="2"/>
        <item x="1"/>
        <item x="3"/>
        <item x="4"/>
        <item x="0"/>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Col" showAll="0">
      <items count="7">
        <item x="4"/>
        <item x="0"/>
        <item x="2"/>
        <item x="3"/>
        <item x="1"/>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5">
    <i>
      <x v="3"/>
    </i>
    <i>
      <x v="2"/>
    </i>
    <i>
      <x v="1"/>
    </i>
    <i>
      <x/>
    </i>
    <i t="grand">
      <x/>
    </i>
  </rowItems>
  <colFields count="1">
    <field x="6"/>
  </colFields>
  <colItems count="7">
    <i>
      <x/>
    </i>
    <i>
      <x v="1"/>
    </i>
    <i>
      <x v="2"/>
    </i>
    <i>
      <x v="3"/>
    </i>
    <i>
      <x v="4"/>
    </i>
    <i>
      <x v="5"/>
    </i>
    <i t="grand">
      <x/>
    </i>
  </colItems>
  <dataFields count="1">
    <dataField name="Sum of Revenue" fld="10" baseField="0" baseItem="0" numFmtId="165"/>
  </dataFields>
  <formats count="1">
    <format dxfId="10">
      <pivotArea outline="0" collapsedLevelsAreSubtotals="1" fieldPosition="0"/>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47E766-CE71-4511-8277-C72E838D51F5}"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7:B54" firstHeaderRow="1"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descending">
      <items count="7">
        <item x="4"/>
        <item x="0"/>
        <item x="2"/>
        <item x="3"/>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7">
    <i>
      <x v="1"/>
    </i>
    <i>
      <x v="5"/>
    </i>
    <i>
      <x/>
    </i>
    <i>
      <x v="4"/>
    </i>
    <i>
      <x v="2"/>
    </i>
    <i>
      <x v="3"/>
    </i>
    <i t="grand">
      <x/>
    </i>
  </rowItems>
  <colItems count="1">
    <i/>
  </colItems>
  <dataFields count="1">
    <dataField name="Average of Revenue" fld="10" subtotal="average" baseField="6" baseItem="0" numFmtId="165"/>
  </dataFields>
  <formats count="2">
    <format dxfId="12">
      <pivotArea collapsedLevelsAreSubtotals="1" fieldPosition="0">
        <references count="1">
          <reference field="6" count="0"/>
        </references>
      </pivotArea>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4132D6-3D1A-4D90-B042-94728F39E1BA}"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8:B45" firstHeaderRow="1"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7">
        <item x="4"/>
        <item x="0"/>
        <item x="2"/>
        <item x="3"/>
        <item x="1"/>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7">
    <i>
      <x/>
    </i>
    <i>
      <x v="1"/>
    </i>
    <i>
      <x v="2"/>
    </i>
    <i>
      <x v="3"/>
    </i>
    <i>
      <x v="4"/>
    </i>
    <i>
      <x v="5"/>
    </i>
    <i t="grand">
      <x/>
    </i>
  </rowItems>
  <colItems count="1">
    <i/>
  </colItems>
  <dataFields count="1">
    <dataField name="Sum of Revenue" fld="10" baseField="0" baseItem="0" numFmtId="16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2EC63E-9405-4041-99B0-459684AEA88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4:B8" firstHeaderRow="1"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pivotField showAll="0">
      <items count="6">
        <item x="2"/>
        <item x="1"/>
        <item x="3"/>
        <item x="4"/>
        <item x="0"/>
        <item t="default"/>
      </items>
    </pivotField>
    <pivotField showAll="0">
      <items count="5">
        <item x="2"/>
        <item x="1"/>
        <item x="3"/>
        <item x="0"/>
        <item t="default"/>
      </items>
    </pivotField>
    <pivotField axis="axisRow"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Revenue" fld="10" baseField="0" baseItem="0" numFmtId="165"/>
  </dataFields>
  <formats count="1">
    <format dxfId="1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2E3F26-F18D-435A-960F-EFD044233864}"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0:B27" firstHeaderRow="1"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pivotField showAll="0">
      <items count="6">
        <item x="2"/>
        <item x="1"/>
        <item x="3"/>
        <item x="4"/>
        <item x="0"/>
        <item t="default"/>
      </items>
    </pivotField>
    <pivotField showAll="0">
      <items count="5">
        <item x="2"/>
        <item x="1"/>
        <item x="3"/>
        <item x="0"/>
        <item t="default"/>
      </items>
    </pivotField>
    <pivotField showAll="0">
      <items count="4">
        <item x="1"/>
        <item x="0"/>
        <item x="2"/>
        <item t="default"/>
      </items>
    </pivotField>
    <pivotField axis="axisRow" showAll="0" sortType="descending">
      <items count="7">
        <item x="4"/>
        <item x="0"/>
        <item x="2"/>
        <item x="3"/>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7">
    <i>
      <x v="2"/>
    </i>
    <i>
      <x/>
    </i>
    <i>
      <x v="1"/>
    </i>
    <i>
      <x v="5"/>
    </i>
    <i>
      <x v="4"/>
    </i>
    <i>
      <x v="3"/>
    </i>
    <i t="grand">
      <x/>
    </i>
  </rowItems>
  <colItems count="1">
    <i/>
  </colItems>
  <dataFields count="1">
    <dataField name="Sum of Profit" fld="12" baseField="0" baseItem="0" numFmtId="165"/>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AD933E-3240-47B5-9AA9-54713FAD397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1:B17" firstHeaderRow="1" firstDataRow="1" firstDataCol="1"/>
  <pivotFields count="20">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6">
        <item x="2"/>
        <item x="1"/>
        <item x="3"/>
        <item x="4"/>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6">
    <i>
      <x v="4"/>
    </i>
    <i>
      <x v="2"/>
    </i>
    <i>
      <x v="1"/>
    </i>
    <i>
      <x v="3"/>
    </i>
    <i>
      <x/>
    </i>
    <i t="grand">
      <x/>
    </i>
  </rowItems>
  <colItems count="1">
    <i/>
  </colItems>
  <dataFields count="1">
    <dataField name="Sum of Profit" fld="12" baseField="0" baseItem="0" numFmtId="165"/>
  </dataFields>
  <formats count="1">
    <format dxfId="1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3511A6-3C33-44C0-98E3-8504F5E84CDD}"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56:B73" firstHeaderRow="1" firstDataRow="1" firstDataCol="1"/>
  <pivotFields count="20">
    <pivotField showAll="0"/>
    <pivotField axis="axisRow" numFmtId="164" showAll="0">
      <items count="15">
        <item x="0"/>
        <item x="1"/>
        <item x="2"/>
        <item x="3"/>
        <item x="4"/>
        <item x="5"/>
        <item x="6"/>
        <item x="7"/>
        <item x="8"/>
        <item x="9"/>
        <item x="10"/>
        <item x="11"/>
        <item x="12"/>
        <item x="13"/>
        <item t="default"/>
      </items>
    </pivotField>
    <pivotField showAll="0"/>
    <pivotField showAll="0">
      <items count="6">
        <item x="2"/>
        <item x="1"/>
        <item x="3"/>
        <item x="4"/>
        <item x="0"/>
        <item t="default"/>
      </items>
    </pivotField>
    <pivotField showAll="0">
      <items count="5">
        <item x="2"/>
        <item x="1"/>
        <item x="3"/>
        <item x="0"/>
        <item t="default"/>
      </items>
    </pivotField>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7">
        <item sd="0" x="0"/>
        <item x="1"/>
        <item x="2"/>
        <item sd="0" x="3"/>
        <item x="4"/>
        <item sd="0" x="5"/>
        <item t="default"/>
      </items>
    </pivotField>
    <pivotField axis="axisRow" showAll="0">
      <items count="5">
        <item sd="0" x="0"/>
        <item x="1"/>
        <item x="2"/>
        <item sd="0" x="3"/>
        <item t="default"/>
      </items>
    </pivotField>
  </pivotFields>
  <rowFields count="3">
    <field x="19"/>
    <field x="18"/>
    <field x="1"/>
  </rowFields>
  <rowItems count="17">
    <i>
      <x v="1"/>
    </i>
    <i r="1">
      <x v="3"/>
    </i>
    <i r="1">
      <x v="4"/>
    </i>
    <i r="2">
      <x v="10"/>
    </i>
    <i r="2">
      <x v="11"/>
    </i>
    <i r="2">
      <x v="12"/>
    </i>
    <i>
      <x v="2"/>
    </i>
    <i r="1">
      <x v="1"/>
    </i>
    <i r="2">
      <x v="1"/>
    </i>
    <i r="2">
      <x v="2"/>
    </i>
    <i r="2">
      <x v="3"/>
    </i>
    <i r="1">
      <x v="2"/>
    </i>
    <i r="2">
      <x v="4"/>
    </i>
    <i r="2">
      <x v="5"/>
    </i>
    <i r="2">
      <x v="6"/>
    </i>
    <i r="1">
      <x v="3"/>
    </i>
    <i t="grand">
      <x/>
    </i>
  </rowItems>
  <colItems count="1">
    <i/>
  </colItems>
  <dataFields count="1">
    <dataField name="Sum of Revenue" fld="10" baseField="0" baseItem="0" numFmtId="165"/>
  </dataFields>
  <formats count="1">
    <format dxfId="1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3">
          <reference field="4294967294" count="1" selected="0">
            <x v="0"/>
          </reference>
          <reference field="18" count="1" selected="0">
            <x v="3"/>
          </reference>
          <reference field="19" count="1" selected="0">
            <x v="1"/>
          </reference>
        </references>
      </pivotArea>
    </chartFormat>
    <chartFormat chart="5" format="15">
      <pivotArea type="data" outline="0" fieldPosition="0">
        <references count="4">
          <reference field="4294967294" count="1" selected="0">
            <x v="0"/>
          </reference>
          <reference field="1" count="1" selected="0">
            <x v="10"/>
          </reference>
          <reference field="18" count="1" selected="0">
            <x v="4"/>
          </reference>
          <reference field="19" count="1" selected="0">
            <x v="1"/>
          </reference>
        </references>
      </pivotArea>
    </chartFormat>
    <chartFormat chart="5" format="16">
      <pivotArea type="data" outline="0" fieldPosition="0">
        <references count="4">
          <reference field="4294967294" count="1" selected="0">
            <x v="0"/>
          </reference>
          <reference field="1" count="1" selected="0">
            <x v="11"/>
          </reference>
          <reference field="18" count="1" selected="0">
            <x v="4"/>
          </reference>
          <reference field="19" count="1" selected="0">
            <x v="1"/>
          </reference>
        </references>
      </pivotArea>
    </chartFormat>
    <chartFormat chart="5" format="17">
      <pivotArea type="data" outline="0" fieldPosition="0">
        <references count="4">
          <reference field="4294967294" count="1" selected="0">
            <x v="0"/>
          </reference>
          <reference field="1" count="1" selected="0">
            <x v="12"/>
          </reference>
          <reference field="18" count="1" selected="0">
            <x v="4"/>
          </reference>
          <reference field="19" count="1" selected="0">
            <x v="1"/>
          </reference>
        </references>
      </pivotArea>
    </chartFormat>
    <chartFormat chart="5" format="18">
      <pivotArea type="data" outline="0" fieldPosition="0">
        <references count="4">
          <reference field="4294967294" count="1" selected="0">
            <x v="0"/>
          </reference>
          <reference field="1" count="1" selected="0">
            <x v="1"/>
          </reference>
          <reference field="18" count="1" selected="0">
            <x v="1"/>
          </reference>
          <reference field="19" count="1" selected="0">
            <x v="2"/>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7A26376-E286-4B95-8925-8D28A0A74052}" sourceName="City">
  <pivotTables>
    <pivotTable tabId="2" name="PivotTable8"/>
    <pivotTable tabId="2" name="PivotTable1"/>
    <pivotTable tabId="2" name="PivotTable2"/>
    <pivotTable tabId="2" name="PivotTable3"/>
    <pivotTable tabId="2" name="PivotTable4"/>
  </pivotTables>
  <data>
    <tabular pivotCacheId="55261954">
      <items count="5">
        <i x="2" s="1"/>
        <i x="1"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824F358-CC84-4E8D-AE0B-40DF01146CC3}" sourceName="Salesperson">
  <pivotTables>
    <pivotTable tabId="2" name="PivotTable8"/>
    <pivotTable tabId="2" name="PivotTable1"/>
    <pivotTable tabId="2" name="PivotTable2"/>
    <pivotTable tabId="2" name="PivotTable3"/>
    <pivotTable tabId="2" name="PivotTable4"/>
  </pivotTables>
  <data>
    <tabular pivotCacheId="55261954">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F95D71-F5DD-4820-9FC3-0282A8056D7B}" sourceName="Category">
  <pivotTables>
    <pivotTable tabId="2" name="PivotTable8"/>
    <pivotTable tabId="2" name="PivotTable1"/>
    <pivotTable tabId="2" name="PivotTable2"/>
    <pivotTable tabId="2" name="PivotTable3"/>
    <pivotTable tabId="2" name="PivotTable4"/>
  </pivotTables>
  <data>
    <tabular pivotCacheId="5526195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5A4C0BD-9D15-44F1-A21D-8AB6927FB0BE}" cache="Slicer_City" caption="City" rowHeight="241300"/>
  <slicer name="Salesperson" xr10:uid="{F1B78231-51F5-4816-9DC5-C6BBBF049DE5}" cache="Slicer_Salesperson" caption="Salesperson" rowHeight="241300"/>
  <slicer name="Category" xr10:uid="{63C3A3E4-A560-4C33-AF03-FADC1EC15CE8}"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6B5647-1B61-42CF-A691-26ACC3C77E8F}" name="Table1" displayName="Table1" ref="A1:R301" totalsRowShown="0">
  <autoFilter ref="A1:R301" xr:uid="{0E8892C7-36AC-454D-B72D-FFBEAF9C8644}"/>
  <tableColumns count="18">
    <tableColumn id="1" xr3:uid="{FE68E9D3-CCF0-4D21-9501-C507CE709806}" name="OrderID"/>
    <tableColumn id="2" xr3:uid="{531DD1D2-2F9B-4E15-8F14-1A0FBCB2849D}" name="OrderDate" dataDxfId="22"/>
    <tableColumn id="3" xr3:uid="{1228310C-290E-489A-9E22-0CC780D84AB3}" name="Customer"/>
    <tableColumn id="4" xr3:uid="{BB2F497F-7418-4382-A767-31D7454AE3A3}" name="City"/>
    <tableColumn id="5" xr3:uid="{98901B45-D61F-43C6-A2C0-5D59B6D8EB55}" name="Salesperson"/>
    <tableColumn id="6" xr3:uid="{0F39F5A8-D857-4327-9E52-A19604BE1EAB}" name="Category"/>
    <tableColumn id="7" xr3:uid="{91ED9020-4D1E-45BD-BC10-0EF364CA74BA}" name="Product"/>
    <tableColumn id="8" xr3:uid="{8A9BB37E-B93E-4487-800E-7BFF00794F8A}" name="Quantity"/>
    <tableColumn id="9" xr3:uid="{18EDF522-3587-4FC3-BF8B-5DE44972B81C}" name="UnitPrice" dataDxfId="21" dataCellStyle="Comma"/>
    <tableColumn id="10" xr3:uid="{995DEE97-A346-43D8-910B-FE2E73352B3E}" name="Discount"/>
    <tableColumn id="11" xr3:uid="{196B8456-4F9A-4C70-A065-8FC036E61CB7}" name="Revenue" dataDxfId="20" dataCellStyle="Comma"/>
    <tableColumn id="12" xr3:uid="{355DB9CC-4D0E-421B-9270-96F1EF7D1C27}" name="Cost" dataDxfId="19" dataCellStyle="Comma"/>
    <tableColumn id="13" xr3:uid="{7C396DB2-F2BA-41F4-8949-EFD66F6B2901}" name="Profit" dataDxfId="18" dataCellStyle="Comma"/>
    <tableColumn id="14" xr3:uid="{2E502775-2BBE-41D1-8F5B-FB474CE73F25}" name="PaymentMethod"/>
    <tableColumn id="15" xr3:uid="{4B0B6B01-6723-4914-9480-905E60342472}" name="سود کل"/>
    <tableColumn id="16" xr3:uid="{CCAC6A69-F828-4A16-90F3-4E2D59876091}" name="sales "/>
    <tableColumn id="17" xr3:uid="{F6FA60E2-6E9A-42D5-880E-497B208F6A6F}" name="Column1"/>
    <tableColumn id="18" xr3:uid="{74AD92DF-1B00-4A2C-92A2-000CA74D75A9}" name="Column2"/>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89174-17CB-4121-B128-7D22293EBB6B}">
  <dimension ref="A1:O59"/>
  <sheetViews>
    <sheetView showGridLines="0" topLeftCell="A7" zoomScale="60" zoomScaleNormal="110" workbookViewId="0">
      <selection activeCell="P14" sqref="P14"/>
    </sheetView>
  </sheetViews>
  <sheetFormatPr defaultRowHeight="14.25" x14ac:dyDescent="0.45"/>
  <cols>
    <col min="9" max="9" width="8.1328125" customWidth="1"/>
    <col min="10" max="10" width="11.06640625" customWidth="1"/>
    <col min="13" max="13" width="10.6640625" customWidth="1"/>
    <col min="14" max="14" width="15.73046875" customWidth="1"/>
  </cols>
  <sheetData>
    <row r="1" spans="1:15" x14ac:dyDescent="0.45">
      <c r="A1" s="9" t="s">
        <v>140</v>
      </c>
      <c r="B1" s="10"/>
      <c r="C1" s="10"/>
      <c r="D1" s="10"/>
      <c r="E1" s="10"/>
      <c r="F1" s="10"/>
      <c r="G1" s="10"/>
      <c r="H1" s="10"/>
      <c r="I1" s="10"/>
      <c r="J1" s="10"/>
      <c r="K1" s="10"/>
      <c r="L1" s="10"/>
      <c r="M1" s="10"/>
      <c r="N1" s="10"/>
    </row>
    <row r="2" spans="1:15" x14ac:dyDescent="0.45">
      <c r="A2" s="10"/>
      <c r="B2" s="10"/>
      <c r="C2" s="10"/>
      <c r="D2" s="10"/>
      <c r="E2" s="10"/>
      <c r="F2" s="10"/>
      <c r="G2" s="10"/>
      <c r="H2" s="10"/>
      <c r="I2" s="10"/>
      <c r="J2" s="10"/>
      <c r="K2" s="10"/>
      <c r="L2" s="10"/>
      <c r="M2" s="10"/>
      <c r="N2" s="10"/>
    </row>
    <row r="3" spans="1:15" x14ac:dyDescent="0.45">
      <c r="A3" s="10"/>
      <c r="B3" s="10"/>
      <c r="C3" s="10"/>
      <c r="D3" s="10"/>
      <c r="E3" s="10"/>
      <c r="F3" s="10"/>
      <c r="G3" s="10"/>
      <c r="H3" s="10"/>
      <c r="I3" s="10"/>
      <c r="J3" s="10"/>
      <c r="K3" s="10"/>
      <c r="L3" s="10"/>
      <c r="M3" s="10"/>
      <c r="N3" s="10"/>
    </row>
    <row r="4" spans="1:15" x14ac:dyDescent="0.45">
      <c r="A4" s="10"/>
      <c r="B4" s="10"/>
      <c r="C4" s="10"/>
      <c r="D4" s="10"/>
      <c r="E4" s="10"/>
      <c r="F4" s="10"/>
      <c r="G4" s="10"/>
      <c r="H4" s="10"/>
      <c r="I4" s="10"/>
      <c r="J4" s="10"/>
      <c r="K4" s="10"/>
      <c r="L4" s="10"/>
      <c r="M4" s="10"/>
      <c r="N4" s="10"/>
    </row>
    <row r="5" spans="1:15" x14ac:dyDescent="0.45">
      <c r="A5" s="10"/>
      <c r="B5" s="10"/>
      <c r="C5" s="10"/>
      <c r="D5" s="10"/>
      <c r="E5" s="10"/>
      <c r="F5" s="10"/>
      <c r="G5" s="10"/>
      <c r="H5" s="10"/>
      <c r="I5" s="10"/>
      <c r="J5" s="10"/>
      <c r="K5" s="10"/>
      <c r="L5" s="10"/>
      <c r="M5" s="10"/>
      <c r="N5" s="10"/>
      <c r="O5" s="8"/>
    </row>
    <row r="6" spans="1:15" x14ac:dyDescent="0.45">
      <c r="A6" s="11" t="s">
        <v>141</v>
      </c>
      <c r="B6" s="11"/>
      <c r="C6" s="11"/>
      <c r="D6" s="11"/>
      <c r="E6" s="11"/>
      <c r="F6" s="11"/>
      <c r="G6" s="11"/>
      <c r="H6" s="11"/>
      <c r="I6" s="11"/>
      <c r="J6" s="11"/>
      <c r="K6" s="11"/>
      <c r="L6" s="11"/>
      <c r="M6" s="11"/>
      <c r="N6" s="11"/>
    </row>
    <row r="7" spans="1:15" x14ac:dyDescent="0.45">
      <c r="A7" s="12"/>
      <c r="B7" s="12"/>
      <c r="C7" s="12"/>
      <c r="D7" s="12"/>
      <c r="E7" s="12"/>
      <c r="F7" s="12"/>
      <c r="G7" s="12"/>
      <c r="H7" s="12"/>
      <c r="I7" s="12"/>
      <c r="J7" s="12"/>
      <c r="K7" s="12"/>
      <c r="L7" s="12"/>
      <c r="M7" s="12"/>
      <c r="N7" s="12"/>
    </row>
    <row r="8" spans="1:15" x14ac:dyDescent="0.45">
      <c r="A8" s="12"/>
      <c r="B8" s="12"/>
      <c r="C8" s="12"/>
      <c r="D8" s="12"/>
      <c r="E8" s="12"/>
      <c r="F8" s="12"/>
      <c r="G8" s="12"/>
      <c r="H8" s="12"/>
      <c r="I8" s="12"/>
      <c r="J8" s="13">
        <f>SalesData!P2</f>
        <v>899503</v>
      </c>
      <c r="K8" s="14"/>
      <c r="L8" s="12"/>
      <c r="M8" s="15"/>
      <c r="N8" s="14" t="s">
        <v>142</v>
      </c>
    </row>
    <row r="9" spans="1:15" x14ac:dyDescent="0.45">
      <c r="A9" s="12"/>
      <c r="B9" s="12"/>
      <c r="C9" s="12"/>
      <c r="D9" s="12"/>
      <c r="E9" s="12"/>
      <c r="F9" s="12"/>
      <c r="G9" s="12"/>
      <c r="H9" s="12"/>
      <c r="I9" s="12"/>
      <c r="J9" s="13">
        <f>SalesData!O2</f>
        <v>269612.52999999991</v>
      </c>
      <c r="K9" s="12"/>
      <c r="L9" s="12"/>
      <c r="M9" s="15"/>
      <c r="N9" s="14" t="s">
        <v>143</v>
      </c>
    </row>
    <row r="10" spans="1:15" x14ac:dyDescent="0.45">
      <c r="A10" s="12"/>
      <c r="B10" s="12"/>
      <c r="C10" s="12"/>
      <c r="D10" s="12"/>
      <c r="E10" s="12"/>
      <c r="F10" s="12"/>
      <c r="G10" s="12"/>
      <c r="H10" s="12"/>
      <c r="I10" s="12"/>
      <c r="J10" s="13">
        <f>SalesData!Q2</f>
        <v>2998.3433333333332</v>
      </c>
      <c r="K10" s="12"/>
      <c r="L10" s="12"/>
      <c r="M10" s="15"/>
      <c r="N10" s="14" t="s">
        <v>144</v>
      </c>
    </row>
    <row r="11" spans="1:15" x14ac:dyDescent="0.45">
      <c r="A11" s="12"/>
      <c r="B11" s="12"/>
      <c r="C11" s="12"/>
      <c r="D11" s="12"/>
      <c r="E11" s="12"/>
      <c r="F11" s="12"/>
      <c r="G11" s="12"/>
      <c r="H11" s="12"/>
      <c r="I11" s="12"/>
      <c r="J11" s="12"/>
      <c r="K11" s="12"/>
      <c r="L11" s="12"/>
      <c r="M11" s="12"/>
      <c r="N11" s="12"/>
    </row>
    <row r="12" spans="1:15" x14ac:dyDescent="0.45">
      <c r="A12" s="12"/>
      <c r="B12" s="12"/>
      <c r="C12" s="12"/>
      <c r="D12" s="12"/>
      <c r="E12" s="12"/>
      <c r="F12" s="12"/>
      <c r="G12" s="12"/>
      <c r="H12" s="12"/>
      <c r="I12" s="12"/>
      <c r="J12" s="12"/>
      <c r="K12" s="12"/>
      <c r="L12" s="12"/>
      <c r="M12" s="12"/>
      <c r="N12" s="12"/>
    </row>
    <row r="13" spans="1:15" x14ac:dyDescent="0.45">
      <c r="A13" s="12"/>
      <c r="B13" s="12"/>
      <c r="C13" s="12"/>
      <c r="D13" s="12"/>
      <c r="E13" s="12"/>
      <c r="F13" s="12"/>
      <c r="G13" s="12"/>
      <c r="H13" s="12"/>
      <c r="I13" s="12"/>
      <c r="J13" s="12"/>
      <c r="K13" s="12"/>
      <c r="L13" s="12"/>
      <c r="M13" s="12"/>
      <c r="N13" s="12"/>
    </row>
    <row r="14" spans="1:15" x14ac:dyDescent="0.45">
      <c r="A14" s="12"/>
      <c r="B14" s="12"/>
      <c r="C14" s="12"/>
      <c r="D14" s="12"/>
      <c r="E14" s="12"/>
      <c r="F14" s="12"/>
      <c r="G14" s="12"/>
      <c r="H14" s="12"/>
      <c r="I14" s="12"/>
      <c r="J14" s="12"/>
      <c r="K14" s="12"/>
      <c r="L14" s="12"/>
      <c r="M14" s="12"/>
      <c r="N14" s="12"/>
    </row>
    <row r="15" spans="1:15" x14ac:dyDescent="0.45">
      <c r="A15" s="12"/>
      <c r="B15" s="12"/>
      <c r="C15" s="12"/>
      <c r="D15" s="12"/>
      <c r="E15" s="12"/>
      <c r="F15" s="12"/>
      <c r="G15" s="12"/>
      <c r="H15" s="12"/>
      <c r="I15" s="12"/>
      <c r="J15" s="12"/>
      <c r="K15" s="12"/>
      <c r="L15" s="12"/>
      <c r="M15" s="12"/>
      <c r="N15" s="12"/>
    </row>
    <row r="16" spans="1:15" x14ac:dyDescent="0.45">
      <c r="A16" s="12"/>
      <c r="B16" s="12"/>
      <c r="C16" s="12"/>
      <c r="D16" s="12"/>
      <c r="E16" s="12"/>
      <c r="F16" s="12"/>
      <c r="G16" s="12"/>
      <c r="H16" s="12"/>
      <c r="I16" s="12"/>
      <c r="J16" s="12"/>
      <c r="K16" s="12"/>
      <c r="L16" s="12"/>
      <c r="M16" s="12"/>
      <c r="N16" s="12"/>
    </row>
    <row r="17" spans="1:14" x14ac:dyDescent="0.45">
      <c r="A17" s="12"/>
      <c r="B17" s="12"/>
      <c r="C17" s="12"/>
      <c r="D17" s="12"/>
      <c r="E17" s="12"/>
      <c r="F17" s="12"/>
      <c r="G17" s="12"/>
      <c r="H17" s="12"/>
      <c r="I17" s="12"/>
      <c r="J17" s="12"/>
      <c r="K17" s="12"/>
      <c r="L17" s="12"/>
      <c r="M17" s="12"/>
      <c r="N17" s="12"/>
    </row>
    <row r="18" spans="1:14" x14ac:dyDescent="0.45">
      <c r="A18" s="12"/>
      <c r="B18" s="12"/>
      <c r="C18" s="12"/>
      <c r="D18" s="12"/>
      <c r="E18" s="12"/>
      <c r="F18" s="12"/>
      <c r="G18" s="12"/>
      <c r="H18" s="12"/>
      <c r="I18" s="12"/>
      <c r="J18" s="12"/>
      <c r="K18" s="12"/>
      <c r="L18" s="12"/>
      <c r="M18" s="12"/>
      <c r="N18" s="12"/>
    </row>
    <row r="19" spans="1:14" x14ac:dyDescent="0.45">
      <c r="A19" s="12"/>
      <c r="B19" s="12"/>
      <c r="C19" s="12"/>
      <c r="D19" s="12"/>
      <c r="E19" s="12"/>
      <c r="F19" s="12"/>
      <c r="G19" s="12"/>
      <c r="H19" s="12"/>
      <c r="I19" s="12"/>
      <c r="J19" s="12"/>
      <c r="K19" s="12"/>
      <c r="L19" s="12"/>
      <c r="M19" s="12"/>
      <c r="N19" s="12"/>
    </row>
    <row r="20" spans="1:14" x14ac:dyDescent="0.45">
      <c r="A20" s="12"/>
      <c r="B20" s="12"/>
      <c r="C20" s="12"/>
      <c r="D20" s="12"/>
      <c r="E20" s="12"/>
      <c r="F20" s="12"/>
      <c r="G20" s="12"/>
      <c r="H20" s="12"/>
      <c r="I20" s="12"/>
      <c r="J20" s="12"/>
      <c r="K20" s="12"/>
      <c r="L20" s="12"/>
      <c r="M20" s="12"/>
      <c r="N20" s="12"/>
    </row>
    <row r="21" spans="1:14" x14ac:dyDescent="0.45">
      <c r="A21" s="12"/>
      <c r="B21" s="12"/>
      <c r="C21" s="12"/>
      <c r="D21" s="12"/>
      <c r="E21" s="12"/>
      <c r="F21" s="12"/>
      <c r="G21" s="12"/>
      <c r="H21" s="12"/>
      <c r="I21" s="12"/>
      <c r="J21" s="12"/>
      <c r="K21" s="12"/>
      <c r="L21" s="12"/>
      <c r="M21" s="12"/>
      <c r="N21" s="12"/>
    </row>
    <row r="22" spans="1:14" x14ac:dyDescent="0.45">
      <c r="A22" s="12"/>
      <c r="B22" s="12"/>
      <c r="C22" s="12"/>
      <c r="D22" s="12"/>
      <c r="E22" s="12"/>
      <c r="F22" s="12"/>
      <c r="G22" s="12"/>
      <c r="H22" s="12"/>
      <c r="I22" s="12"/>
      <c r="J22" s="12"/>
      <c r="K22" s="12"/>
      <c r="L22" s="12"/>
      <c r="M22" s="12"/>
      <c r="N22" s="12"/>
    </row>
    <row r="23" spans="1:14" x14ac:dyDescent="0.45">
      <c r="A23" s="12"/>
      <c r="B23" s="12"/>
      <c r="C23" s="12"/>
      <c r="D23" s="12"/>
      <c r="E23" s="12"/>
      <c r="F23" s="12"/>
      <c r="G23" s="12"/>
      <c r="H23" s="12"/>
      <c r="I23" s="12"/>
      <c r="J23" s="12"/>
      <c r="K23" s="12"/>
      <c r="L23" s="12"/>
      <c r="M23" s="12"/>
      <c r="N23" s="12"/>
    </row>
    <row r="24" spans="1:14" x14ac:dyDescent="0.45">
      <c r="A24" s="12"/>
      <c r="B24" s="12"/>
      <c r="C24" s="12"/>
      <c r="D24" s="12"/>
      <c r="E24" s="12"/>
      <c r="F24" s="12"/>
      <c r="G24" s="12"/>
      <c r="H24" s="12"/>
      <c r="I24" s="12"/>
      <c r="J24" s="12"/>
      <c r="K24" s="12"/>
      <c r="L24" s="12"/>
      <c r="M24" s="12"/>
      <c r="N24" s="12"/>
    </row>
    <row r="25" spans="1:14" x14ac:dyDescent="0.45">
      <c r="A25" s="12"/>
      <c r="B25" s="12"/>
      <c r="C25" s="12"/>
      <c r="D25" s="12"/>
      <c r="E25" s="12"/>
      <c r="F25" s="12"/>
      <c r="G25" s="12"/>
      <c r="H25" s="12"/>
      <c r="I25" s="12"/>
      <c r="J25" s="12"/>
      <c r="K25" s="12"/>
      <c r="L25" s="12"/>
      <c r="M25" s="12"/>
      <c r="N25" s="12"/>
    </row>
    <row r="26" spans="1:14" x14ac:dyDescent="0.45">
      <c r="A26" s="12"/>
      <c r="B26" s="12"/>
      <c r="C26" s="12"/>
      <c r="D26" s="12"/>
      <c r="E26" s="12"/>
      <c r="F26" s="12"/>
      <c r="G26" s="12"/>
      <c r="H26" s="12"/>
      <c r="I26" s="12"/>
      <c r="J26" s="12"/>
      <c r="K26" s="12"/>
      <c r="L26" s="12"/>
      <c r="M26" s="12"/>
      <c r="N26" s="12"/>
    </row>
    <row r="27" spans="1:14" x14ac:dyDescent="0.45">
      <c r="A27" s="12"/>
      <c r="B27" s="12"/>
      <c r="C27" s="12"/>
      <c r="D27" s="12"/>
      <c r="E27" s="12"/>
      <c r="F27" s="12"/>
      <c r="G27" s="12"/>
      <c r="H27" s="12"/>
      <c r="I27" s="12"/>
      <c r="J27" s="12"/>
      <c r="K27" s="12"/>
      <c r="L27" s="12"/>
      <c r="M27" s="12"/>
      <c r="N27" s="12"/>
    </row>
    <row r="28" spans="1:14" x14ac:dyDescent="0.45">
      <c r="A28" s="12"/>
      <c r="B28" s="12"/>
      <c r="C28" s="12"/>
      <c r="D28" s="12"/>
      <c r="E28" s="12"/>
      <c r="F28" s="12"/>
      <c r="G28" s="12"/>
      <c r="H28" s="12"/>
      <c r="I28" s="12"/>
      <c r="J28" s="12"/>
      <c r="K28" s="12"/>
      <c r="L28" s="12"/>
      <c r="M28" s="12"/>
      <c r="N28" s="12"/>
    </row>
    <row r="29" spans="1:14" x14ac:dyDescent="0.45">
      <c r="A29" s="12"/>
      <c r="B29" s="12"/>
      <c r="C29" s="12"/>
      <c r="D29" s="12"/>
      <c r="E29" s="12"/>
      <c r="F29" s="12"/>
      <c r="G29" s="12"/>
      <c r="H29" s="12"/>
      <c r="I29" s="12"/>
      <c r="J29" s="12"/>
      <c r="K29" s="12"/>
      <c r="L29" s="12"/>
      <c r="M29" s="12"/>
      <c r="N29" s="12"/>
    </row>
    <row r="30" spans="1:14" x14ac:dyDescent="0.45">
      <c r="A30" s="12"/>
      <c r="B30" s="12"/>
      <c r="C30" s="12"/>
      <c r="D30" s="12"/>
      <c r="E30" s="12"/>
      <c r="F30" s="12"/>
      <c r="G30" s="12"/>
      <c r="H30" s="12"/>
      <c r="I30" s="12"/>
      <c r="J30" s="12"/>
      <c r="K30" s="12"/>
      <c r="L30" s="12"/>
      <c r="M30" s="12"/>
      <c r="N30" s="12"/>
    </row>
    <row r="31" spans="1:14" x14ac:dyDescent="0.45">
      <c r="A31" s="12"/>
      <c r="B31" s="12"/>
      <c r="C31" s="12"/>
      <c r="D31" s="12"/>
      <c r="E31" s="12"/>
      <c r="F31" s="12"/>
      <c r="G31" s="12"/>
      <c r="H31" s="12"/>
      <c r="I31" s="12"/>
      <c r="J31" s="12"/>
      <c r="K31" s="12"/>
      <c r="L31" s="12"/>
      <c r="M31" s="12"/>
      <c r="N31" s="12"/>
    </row>
    <row r="32" spans="1:14" x14ac:dyDescent="0.45">
      <c r="A32" s="12"/>
      <c r="B32" s="12"/>
      <c r="C32" s="12"/>
      <c r="D32" s="12"/>
      <c r="E32" s="12"/>
      <c r="F32" s="12"/>
      <c r="G32" s="12"/>
      <c r="H32" s="12"/>
      <c r="I32" s="12"/>
      <c r="J32" s="12"/>
      <c r="K32" s="12"/>
      <c r="L32" s="12"/>
      <c r="M32" s="12"/>
      <c r="N32" s="12"/>
    </row>
    <row r="33" spans="1:14" x14ac:dyDescent="0.45">
      <c r="A33" s="12"/>
      <c r="B33" s="12"/>
      <c r="C33" s="12"/>
      <c r="D33" s="12"/>
      <c r="E33" s="12"/>
      <c r="F33" s="12"/>
      <c r="G33" s="12"/>
      <c r="H33" s="12"/>
      <c r="I33" s="12"/>
      <c r="J33" s="12"/>
      <c r="K33" s="12"/>
      <c r="L33" s="12"/>
      <c r="M33" s="12"/>
      <c r="N33" s="12"/>
    </row>
    <row r="34" spans="1:14" x14ac:dyDescent="0.45">
      <c r="A34" s="12"/>
      <c r="B34" s="12"/>
      <c r="C34" s="12"/>
      <c r="D34" s="12"/>
      <c r="E34" s="12"/>
      <c r="F34" s="12"/>
      <c r="G34" s="12"/>
      <c r="H34" s="12"/>
      <c r="I34" s="12"/>
      <c r="J34" s="12"/>
      <c r="K34" s="12"/>
      <c r="L34" s="12"/>
      <c r="M34" s="12"/>
      <c r="N34" s="12"/>
    </row>
    <row r="35" spans="1:14" x14ac:dyDescent="0.45">
      <c r="A35" s="12"/>
      <c r="B35" s="12"/>
      <c r="C35" s="12"/>
      <c r="D35" s="12"/>
      <c r="E35" s="12"/>
      <c r="F35" s="12"/>
      <c r="G35" s="12"/>
      <c r="H35" s="12"/>
      <c r="I35" s="12"/>
      <c r="J35" s="12"/>
      <c r="K35" s="12"/>
      <c r="L35" s="12"/>
      <c r="M35" s="12"/>
      <c r="N35" s="12"/>
    </row>
    <row r="36" spans="1:14" x14ac:dyDescent="0.45">
      <c r="A36" s="12"/>
      <c r="B36" s="12"/>
      <c r="C36" s="12"/>
      <c r="D36" s="12"/>
      <c r="E36" s="12"/>
      <c r="F36" s="12"/>
      <c r="G36" s="12"/>
      <c r="H36" s="12"/>
      <c r="I36" s="12"/>
      <c r="J36" s="12"/>
      <c r="K36" s="12"/>
      <c r="L36" s="12"/>
      <c r="M36" s="12"/>
      <c r="N36" s="12"/>
    </row>
    <row r="37" spans="1:14" x14ac:dyDescent="0.45">
      <c r="A37" s="12"/>
      <c r="B37" s="12"/>
      <c r="C37" s="12"/>
      <c r="D37" s="12"/>
      <c r="E37" s="12"/>
      <c r="F37" s="12"/>
      <c r="G37" s="12"/>
      <c r="H37" s="12"/>
      <c r="I37" s="12"/>
      <c r="J37" s="12"/>
      <c r="K37" s="12"/>
      <c r="L37" s="12"/>
      <c r="M37" s="12"/>
      <c r="N37" s="12"/>
    </row>
    <row r="38" spans="1:14" x14ac:dyDescent="0.45">
      <c r="A38" s="12"/>
      <c r="B38" s="12"/>
      <c r="C38" s="12"/>
      <c r="D38" s="12"/>
      <c r="E38" s="12"/>
      <c r="F38" s="12"/>
      <c r="G38" s="12"/>
      <c r="H38" s="12"/>
      <c r="I38" s="12"/>
      <c r="J38" s="12"/>
      <c r="K38" s="12"/>
      <c r="L38" s="12"/>
      <c r="M38" s="12"/>
      <c r="N38" s="12"/>
    </row>
    <row r="39" spans="1:14" x14ac:dyDescent="0.45">
      <c r="A39" s="12"/>
      <c r="B39" s="12"/>
      <c r="C39" s="12"/>
      <c r="D39" s="12"/>
      <c r="E39" s="12"/>
      <c r="F39" s="12"/>
      <c r="G39" s="12"/>
      <c r="H39" s="12"/>
      <c r="I39" s="12"/>
      <c r="J39" s="12"/>
      <c r="K39" s="12"/>
      <c r="L39" s="12"/>
      <c r="M39" s="12"/>
      <c r="N39" s="12"/>
    </row>
    <row r="40" spans="1:14" x14ac:dyDescent="0.45">
      <c r="A40" s="12"/>
      <c r="B40" s="12"/>
      <c r="C40" s="12"/>
      <c r="D40" s="12"/>
      <c r="E40" s="12"/>
      <c r="F40" s="12"/>
      <c r="G40" s="12"/>
      <c r="H40" s="12"/>
      <c r="I40" s="12"/>
      <c r="J40" s="12"/>
      <c r="K40" s="12"/>
      <c r="L40" s="12"/>
      <c r="M40" s="12"/>
      <c r="N40" s="12"/>
    </row>
    <row r="41" spans="1:14" x14ac:dyDescent="0.45">
      <c r="A41" s="12"/>
      <c r="B41" s="12"/>
      <c r="C41" s="12"/>
      <c r="D41" s="12"/>
      <c r="E41" s="12"/>
      <c r="F41" s="12"/>
      <c r="G41" s="12"/>
      <c r="H41" s="12"/>
      <c r="I41" s="12"/>
      <c r="J41" s="12"/>
      <c r="K41" s="12"/>
      <c r="L41" s="12"/>
      <c r="M41" s="12"/>
      <c r="N41" s="12"/>
    </row>
    <row r="42" spans="1:14" x14ac:dyDescent="0.45">
      <c r="A42" s="12"/>
      <c r="B42" s="12"/>
      <c r="C42" s="12"/>
      <c r="D42" s="12"/>
      <c r="E42" s="12"/>
      <c r="F42" s="12"/>
      <c r="G42" s="12"/>
      <c r="H42" s="12"/>
      <c r="I42" s="12"/>
      <c r="J42" s="12"/>
      <c r="K42" s="12"/>
      <c r="L42" s="12"/>
      <c r="M42" s="12"/>
      <c r="N42" s="12"/>
    </row>
    <row r="43" spans="1:14" x14ac:dyDescent="0.45">
      <c r="A43" s="12"/>
      <c r="B43" s="12"/>
      <c r="C43" s="12"/>
      <c r="D43" s="12"/>
      <c r="E43" s="12"/>
      <c r="F43" s="12"/>
      <c r="G43" s="12"/>
      <c r="H43" s="12"/>
      <c r="I43" s="12"/>
      <c r="J43" s="12"/>
      <c r="K43" s="12"/>
      <c r="L43" s="12"/>
      <c r="M43" s="12"/>
      <c r="N43" s="12"/>
    </row>
    <row r="44" spans="1:14" x14ac:dyDescent="0.45">
      <c r="A44" s="12"/>
      <c r="B44" s="12"/>
      <c r="C44" s="12"/>
      <c r="D44" s="12"/>
      <c r="E44" s="12"/>
      <c r="F44" s="12"/>
      <c r="G44" s="12"/>
      <c r="H44" s="12"/>
      <c r="I44" s="12"/>
      <c r="J44" s="12"/>
      <c r="K44" s="12"/>
      <c r="L44" s="12"/>
      <c r="M44" s="12"/>
      <c r="N44" s="12"/>
    </row>
    <row r="45" spans="1:14" x14ac:dyDescent="0.45">
      <c r="A45" s="12"/>
      <c r="B45" s="12"/>
      <c r="C45" s="12"/>
      <c r="D45" s="12"/>
      <c r="E45" s="12"/>
      <c r="F45" s="12"/>
      <c r="G45" s="12"/>
      <c r="H45" s="12"/>
      <c r="I45" s="12"/>
      <c r="J45" s="12"/>
      <c r="K45" s="12"/>
      <c r="L45" s="12"/>
      <c r="M45" s="12"/>
      <c r="N45" s="12"/>
    </row>
    <row r="46" spans="1:14" x14ac:dyDescent="0.45">
      <c r="A46" s="12"/>
      <c r="B46" s="12"/>
      <c r="C46" s="12"/>
      <c r="D46" s="12"/>
      <c r="E46" s="12"/>
      <c r="F46" s="12"/>
      <c r="G46" s="12"/>
      <c r="H46" s="12"/>
      <c r="I46" s="12"/>
      <c r="J46" s="12"/>
      <c r="K46" s="12"/>
      <c r="L46" s="12"/>
      <c r="M46" s="12"/>
      <c r="N46" s="12"/>
    </row>
    <row r="47" spans="1:14" x14ac:dyDescent="0.45">
      <c r="A47" s="12"/>
      <c r="B47" s="12"/>
      <c r="C47" s="12"/>
      <c r="D47" s="12"/>
      <c r="E47" s="12"/>
      <c r="F47" s="12"/>
      <c r="G47" s="12"/>
      <c r="H47" s="12"/>
      <c r="I47" s="12"/>
      <c r="J47" s="12"/>
      <c r="K47" s="12"/>
      <c r="L47" s="12"/>
      <c r="M47" s="12"/>
      <c r="N47" s="12"/>
    </row>
    <row r="48" spans="1:14" x14ac:dyDescent="0.45">
      <c r="A48" s="12"/>
      <c r="B48" s="12"/>
      <c r="C48" s="12"/>
      <c r="D48" s="12"/>
      <c r="E48" s="12"/>
      <c r="F48" s="12"/>
      <c r="G48" s="12"/>
      <c r="H48" s="12"/>
      <c r="I48" s="12"/>
      <c r="J48" s="12"/>
      <c r="K48" s="12"/>
      <c r="L48" s="12"/>
      <c r="M48" s="12"/>
      <c r="N48" s="12"/>
    </row>
    <row r="49" spans="1:14" x14ac:dyDescent="0.45">
      <c r="A49" s="12"/>
      <c r="B49" s="12"/>
      <c r="C49" s="12"/>
      <c r="D49" s="12"/>
      <c r="E49" s="12"/>
      <c r="F49" s="12"/>
      <c r="G49" s="12"/>
      <c r="H49" s="12"/>
      <c r="I49" s="12"/>
      <c r="J49" s="12"/>
      <c r="K49" s="12"/>
      <c r="L49" s="12"/>
      <c r="M49" s="12"/>
      <c r="N49" s="12"/>
    </row>
    <row r="50" spans="1:14" x14ac:dyDescent="0.45">
      <c r="A50" s="12"/>
      <c r="B50" s="12"/>
      <c r="C50" s="12"/>
      <c r="D50" s="12"/>
      <c r="E50" s="12"/>
      <c r="F50" s="12"/>
      <c r="G50" s="12"/>
      <c r="H50" s="12"/>
      <c r="I50" s="12"/>
      <c r="J50" s="12"/>
      <c r="K50" s="12"/>
      <c r="L50" s="12"/>
      <c r="M50" s="12"/>
      <c r="N50" s="12"/>
    </row>
    <row r="51" spans="1:14" x14ac:dyDescent="0.45">
      <c r="A51" s="12"/>
      <c r="B51" s="12"/>
      <c r="C51" s="12"/>
      <c r="D51" s="12"/>
      <c r="E51" s="12"/>
      <c r="F51" s="12"/>
      <c r="G51" s="12"/>
      <c r="H51" s="12"/>
      <c r="I51" s="12"/>
      <c r="J51" s="12"/>
      <c r="K51" s="12"/>
      <c r="L51" s="12"/>
      <c r="M51" s="12"/>
      <c r="N51" s="12"/>
    </row>
    <row r="52" spans="1:14" x14ac:dyDescent="0.45">
      <c r="A52" s="12"/>
      <c r="B52" s="12"/>
      <c r="C52" s="12"/>
      <c r="D52" s="12"/>
      <c r="E52" s="12"/>
      <c r="F52" s="12"/>
      <c r="G52" s="12"/>
      <c r="H52" s="12"/>
      <c r="I52" s="12"/>
      <c r="J52" s="12"/>
      <c r="K52" s="12"/>
      <c r="L52" s="12"/>
      <c r="M52" s="12"/>
      <c r="N52" s="12"/>
    </row>
    <row r="53" spans="1:14" x14ac:dyDescent="0.45">
      <c r="A53" s="12"/>
      <c r="B53" s="12"/>
      <c r="C53" s="12"/>
      <c r="D53" s="12"/>
      <c r="E53" s="12"/>
      <c r="F53" s="12"/>
      <c r="G53" s="12"/>
      <c r="H53" s="12"/>
      <c r="I53" s="12"/>
      <c r="J53" s="12"/>
      <c r="K53" s="12"/>
      <c r="L53" s="12"/>
      <c r="M53" s="12"/>
      <c r="N53" s="12"/>
    </row>
    <row r="54" spans="1:14" x14ac:dyDescent="0.45">
      <c r="A54" s="12"/>
      <c r="B54" s="12"/>
      <c r="C54" s="12"/>
      <c r="D54" s="12"/>
      <c r="E54" s="12"/>
      <c r="F54" s="12"/>
      <c r="G54" s="12"/>
      <c r="H54" s="12"/>
      <c r="I54" s="12"/>
      <c r="J54" s="12"/>
      <c r="K54" s="12"/>
      <c r="L54" s="12"/>
      <c r="M54" s="12"/>
      <c r="N54" s="12"/>
    </row>
    <row r="55" spans="1:14" x14ac:dyDescent="0.45">
      <c r="A55" s="12"/>
      <c r="B55" s="12"/>
      <c r="C55" s="12"/>
      <c r="D55" s="16">
        <v>334155</v>
      </c>
      <c r="E55" s="14" t="s">
        <v>17</v>
      </c>
      <c r="F55" s="12"/>
      <c r="G55" s="14" t="s">
        <v>150</v>
      </c>
      <c r="H55" s="12"/>
      <c r="I55" s="12"/>
      <c r="J55" s="12" t="s">
        <v>149</v>
      </c>
      <c r="K55" s="12"/>
      <c r="L55" s="12"/>
      <c r="M55" s="12" t="s">
        <v>145</v>
      </c>
      <c r="N55" s="12"/>
    </row>
    <row r="56" spans="1:14" x14ac:dyDescent="0.45">
      <c r="A56" s="12"/>
      <c r="B56" s="12"/>
      <c r="C56" s="12"/>
      <c r="D56" s="16">
        <v>272218</v>
      </c>
      <c r="E56" s="14" t="s">
        <v>16</v>
      </c>
      <c r="F56" s="12"/>
      <c r="G56" s="14" t="s">
        <v>151</v>
      </c>
      <c r="H56" s="12"/>
      <c r="I56" s="12"/>
      <c r="J56" s="14" t="s">
        <v>146</v>
      </c>
      <c r="K56" s="12"/>
      <c r="L56" s="12"/>
      <c r="M56" s="17" t="s">
        <v>31</v>
      </c>
      <c r="N56" s="12"/>
    </row>
    <row r="57" spans="1:14" x14ac:dyDescent="0.45">
      <c r="A57" s="12"/>
      <c r="B57" s="12"/>
      <c r="C57" s="12"/>
      <c r="D57" s="16">
        <v>105887</v>
      </c>
      <c r="E57" s="18" t="s">
        <v>153</v>
      </c>
      <c r="F57" s="12"/>
      <c r="G57" s="14" t="s">
        <v>152</v>
      </c>
      <c r="H57" s="12"/>
      <c r="I57" s="12"/>
      <c r="J57" s="19" t="s">
        <v>147</v>
      </c>
      <c r="K57" s="12"/>
      <c r="L57" s="12"/>
      <c r="M57" s="14" t="s">
        <v>44</v>
      </c>
      <c r="N57" s="12"/>
    </row>
    <row r="58" spans="1:14" x14ac:dyDescent="0.45">
      <c r="A58" s="12"/>
      <c r="B58" s="12"/>
      <c r="C58" s="12"/>
      <c r="D58" s="16">
        <v>79965</v>
      </c>
      <c r="E58" s="18" t="s">
        <v>129</v>
      </c>
      <c r="F58" s="12"/>
      <c r="G58" s="14" t="s">
        <v>154</v>
      </c>
      <c r="H58" s="12"/>
      <c r="I58" s="12"/>
      <c r="J58" s="14" t="s">
        <v>148</v>
      </c>
      <c r="K58" s="12"/>
      <c r="L58" s="12"/>
      <c r="M58" s="14" t="s">
        <v>18</v>
      </c>
      <c r="N58" s="12"/>
    </row>
    <row r="59" spans="1:14" x14ac:dyDescent="0.45">
      <c r="A59" s="12"/>
      <c r="B59" s="12"/>
      <c r="C59" s="12"/>
      <c r="D59" s="12"/>
      <c r="E59" s="12"/>
      <c r="F59" s="12"/>
      <c r="G59" s="12"/>
      <c r="H59" s="12"/>
      <c r="I59" s="12"/>
      <c r="J59" s="12"/>
      <c r="K59" s="12"/>
      <c r="L59" s="12"/>
      <c r="M59" s="12"/>
      <c r="N59" s="12"/>
    </row>
  </sheetData>
  <mergeCells count="2">
    <mergeCell ref="A1:N5"/>
    <mergeCell ref="A6:N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1"/>
  <sheetViews>
    <sheetView tabSelected="1" topLeftCell="C1" workbookViewId="0">
      <selection activeCell="O3" sqref="O3"/>
    </sheetView>
  </sheetViews>
  <sheetFormatPr defaultRowHeight="14.25" x14ac:dyDescent="0.45"/>
  <cols>
    <col min="2" max="2" width="11.1328125" customWidth="1"/>
    <col min="3" max="3" width="10.73046875" customWidth="1"/>
    <col min="5" max="5" width="12.3984375" customWidth="1"/>
    <col min="6" max="6" width="9.9296875" customWidth="1"/>
    <col min="7" max="7" width="10.9296875" customWidth="1"/>
    <col min="8" max="8" width="9.73046875" customWidth="1"/>
    <col min="9" max="9" width="11.796875" customWidth="1"/>
    <col min="10" max="10" width="9.73046875" customWidth="1"/>
    <col min="11" max="12" width="12.796875" customWidth="1"/>
    <col min="13" max="13" width="11.73046875" customWidth="1"/>
    <col min="14" max="14" width="16.33203125" customWidth="1"/>
    <col min="15" max="15" width="13.796875" customWidth="1"/>
    <col min="16" max="16" width="14.796875" customWidth="1"/>
    <col min="17" max="17" width="12.796875"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114</v>
      </c>
      <c r="P1" t="s">
        <v>115</v>
      </c>
      <c r="Q1" t="s">
        <v>116</v>
      </c>
      <c r="R1" t="s">
        <v>124</v>
      </c>
    </row>
    <row r="2" spans="1:18" x14ac:dyDescent="0.45">
      <c r="A2">
        <v>1001</v>
      </c>
      <c r="B2" s="1">
        <v>45910</v>
      </c>
      <c r="C2" t="s">
        <v>14</v>
      </c>
      <c r="D2" t="s">
        <v>15</v>
      </c>
      <c r="E2" t="s">
        <v>16</v>
      </c>
      <c r="F2" t="s">
        <v>17</v>
      </c>
      <c r="G2" t="s">
        <v>18</v>
      </c>
      <c r="H2">
        <v>2</v>
      </c>
      <c r="I2" s="6">
        <v>2000</v>
      </c>
      <c r="J2">
        <v>0</v>
      </c>
      <c r="K2" s="6">
        <v>4000</v>
      </c>
      <c r="L2" s="6">
        <v>4000</v>
      </c>
      <c r="M2" s="6">
        <v>836.76</v>
      </c>
      <c r="N2" t="s">
        <v>19</v>
      </c>
      <c r="O2" s="6">
        <f>SUM(Table1[Profit])</f>
        <v>269612.52999999991</v>
      </c>
      <c r="P2" s="6">
        <f>SUM(Table1[Revenue])</f>
        <v>899503</v>
      </c>
      <c r="Q2" s="6">
        <f>AVERAGE(Table1[Revenue])</f>
        <v>2998.3433333333332</v>
      </c>
      <c r="R2" t="s">
        <v>123</v>
      </c>
    </row>
    <row r="3" spans="1:18" x14ac:dyDescent="0.45">
      <c r="A3">
        <v>1002</v>
      </c>
      <c r="B3" s="1">
        <v>45911</v>
      </c>
      <c r="C3" t="s">
        <v>20</v>
      </c>
      <c r="D3" t="s">
        <v>21</v>
      </c>
      <c r="E3" t="s">
        <v>16</v>
      </c>
      <c r="F3" t="s">
        <v>17</v>
      </c>
      <c r="G3" t="s">
        <v>18</v>
      </c>
      <c r="H3">
        <v>4</v>
      </c>
      <c r="I3" s="6">
        <v>1040</v>
      </c>
      <c r="J3">
        <v>0.05</v>
      </c>
      <c r="K3" s="6">
        <v>3952</v>
      </c>
      <c r="L3" s="6">
        <v>3447.15</v>
      </c>
      <c r="M3" s="6">
        <v>504.85</v>
      </c>
      <c r="N3" t="s">
        <v>19</v>
      </c>
    </row>
    <row r="4" spans="1:18" x14ac:dyDescent="0.45">
      <c r="A4">
        <v>1003</v>
      </c>
      <c r="B4" s="1">
        <v>45912</v>
      </c>
      <c r="C4" t="s">
        <v>22</v>
      </c>
      <c r="D4" t="s">
        <v>23</v>
      </c>
      <c r="E4" t="s">
        <v>24</v>
      </c>
      <c r="F4" t="s">
        <v>25</v>
      </c>
      <c r="G4" t="s">
        <v>26</v>
      </c>
      <c r="H4">
        <v>4</v>
      </c>
      <c r="I4" s="6">
        <v>210</v>
      </c>
      <c r="J4">
        <v>0</v>
      </c>
      <c r="K4" s="6">
        <v>840</v>
      </c>
      <c r="L4" s="6">
        <v>445.64</v>
      </c>
      <c r="M4" s="6">
        <v>394.36</v>
      </c>
      <c r="N4" t="s">
        <v>19</v>
      </c>
    </row>
    <row r="5" spans="1:18" x14ac:dyDescent="0.45">
      <c r="A5">
        <v>1004</v>
      </c>
      <c r="B5" s="1">
        <v>45913</v>
      </c>
      <c r="C5" t="s">
        <v>27</v>
      </c>
      <c r="D5" t="s">
        <v>28</v>
      </c>
      <c r="E5" t="s">
        <v>29</v>
      </c>
      <c r="F5" t="s">
        <v>30</v>
      </c>
      <c r="G5" t="s">
        <v>31</v>
      </c>
      <c r="H5">
        <v>4</v>
      </c>
      <c r="I5" s="6">
        <v>1870</v>
      </c>
      <c r="J5">
        <v>0.05</v>
      </c>
      <c r="K5" s="6">
        <v>7106</v>
      </c>
      <c r="L5" s="6">
        <v>3560.24</v>
      </c>
      <c r="M5" s="6">
        <v>3545.76</v>
      </c>
      <c r="N5" t="s">
        <v>32</v>
      </c>
    </row>
    <row r="6" spans="1:18" x14ac:dyDescent="0.45">
      <c r="A6">
        <v>1005</v>
      </c>
      <c r="B6" s="1">
        <v>45914</v>
      </c>
      <c r="C6" t="s">
        <v>33</v>
      </c>
      <c r="D6" t="s">
        <v>28</v>
      </c>
      <c r="E6" t="s">
        <v>16</v>
      </c>
      <c r="F6" t="s">
        <v>25</v>
      </c>
      <c r="G6" t="s">
        <v>26</v>
      </c>
      <c r="H6">
        <v>1</v>
      </c>
      <c r="I6" s="6">
        <v>1650</v>
      </c>
      <c r="J6">
        <v>0.1</v>
      </c>
      <c r="K6" s="6">
        <v>1485</v>
      </c>
      <c r="L6" s="6">
        <v>1274.71</v>
      </c>
      <c r="M6" s="6">
        <v>210.29</v>
      </c>
      <c r="N6" t="s">
        <v>34</v>
      </c>
    </row>
    <row r="7" spans="1:18" x14ac:dyDescent="0.45">
      <c r="A7">
        <v>1006</v>
      </c>
      <c r="B7" s="1">
        <v>45915</v>
      </c>
      <c r="C7" t="s">
        <v>35</v>
      </c>
      <c r="D7" t="s">
        <v>15</v>
      </c>
      <c r="E7" t="s">
        <v>29</v>
      </c>
      <c r="F7" t="s">
        <v>25</v>
      </c>
      <c r="G7" t="s">
        <v>26</v>
      </c>
      <c r="H7">
        <v>5</v>
      </c>
      <c r="I7" s="6">
        <v>1290</v>
      </c>
      <c r="J7">
        <v>0.15</v>
      </c>
      <c r="K7" s="6">
        <v>5482.5</v>
      </c>
      <c r="L7" s="6">
        <v>4859.2</v>
      </c>
      <c r="M7" s="6">
        <v>623.29999999999995</v>
      </c>
      <c r="N7" t="s">
        <v>19</v>
      </c>
    </row>
    <row r="8" spans="1:18" x14ac:dyDescent="0.45">
      <c r="A8">
        <v>1007</v>
      </c>
      <c r="B8" s="1">
        <v>45916</v>
      </c>
      <c r="C8" t="s">
        <v>36</v>
      </c>
      <c r="D8" t="s">
        <v>15</v>
      </c>
      <c r="E8" t="s">
        <v>29</v>
      </c>
      <c r="F8" t="s">
        <v>30</v>
      </c>
      <c r="G8" t="s">
        <v>37</v>
      </c>
      <c r="H8">
        <v>3</v>
      </c>
      <c r="I8" s="6">
        <v>1070</v>
      </c>
      <c r="J8">
        <v>0.05</v>
      </c>
      <c r="K8" s="6">
        <v>3049.5</v>
      </c>
      <c r="L8" s="6">
        <v>2573.6799999999998</v>
      </c>
      <c r="M8" s="6">
        <v>475.82</v>
      </c>
      <c r="N8" t="s">
        <v>19</v>
      </c>
    </row>
    <row r="9" spans="1:18" x14ac:dyDescent="0.45">
      <c r="A9">
        <v>1008</v>
      </c>
      <c r="B9" s="1">
        <v>45917</v>
      </c>
      <c r="C9" t="s">
        <v>38</v>
      </c>
      <c r="D9" t="s">
        <v>28</v>
      </c>
      <c r="E9" t="s">
        <v>29</v>
      </c>
      <c r="F9" t="s">
        <v>25</v>
      </c>
      <c r="G9" t="s">
        <v>26</v>
      </c>
      <c r="H9">
        <v>1</v>
      </c>
      <c r="I9" s="6">
        <v>220</v>
      </c>
      <c r="J9">
        <v>0.15</v>
      </c>
      <c r="K9" s="6">
        <v>187</v>
      </c>
      <c r="L9" s="6">
        <v>141.47999999999999</v>
      </c>
      <c r="M9" s="6">
        <v>45.52</v>
      </c>
      <c r="N9" t="s">
        <v>19</v>
      </c>
    </row>
    <row r="10" spans="1:18" x14ac:dyDescent="0.45">
      <c r="A10">
        <v>1009</v>
      </c>
      <c r="B10" s="1">
        <v>45918</v>
      </c>
      <c r="C10" t="s">
        <v>39</v>
      </c>
      <c r="D10" t="s">
        <v>40</v>
      </c>
      <c r="E10" t="s">
        <v>24</v>
      </c>
      <c r="F10" t="s">
        <v>17</v>
      </c>
      <c r="G10" t="s">
        <v>18</v>
      </c>
      <c r="H10">
        <v>3</v>
      </c>
      <c r="I10" s="6">
        <v>1100</v>
      </c>
      <c r="J10">
        <v>0.05</v>
      </c>
      <c r="K10" s="6">
        <v>3135</v>
      </c>
      <c r="L10" s="6">
        <v>1845.69</v>
      </c>
      <c r="M10" s="6">
        <v>1289.31</v>
      </c>
      <c r="N10" t="s">
        <v>32</v>
      </c>
    </row>
    <row r="11" spans="1:18" x14ac:dyDescent="0.45">
      <c r="A11">
        <v>1010</v>
      </c>
      <c r="B11" s="1">
        <v>45919</v>
      </c>
      <c r="C11" t="s">
        <v>41</v>
      </c>
      <c r="D11" t="s">
        <v>21</v>
      </c>
      <c r="E11" t="s">
        <v>42</v>
      </c>
      <c r="F11" t="s">
        <v>17</v>
      </c>
      <c r="G11" t="s">
        <v>18</v>
      </c>
      <c r="H11">
        <v>2</v>
      </c>
      <c r="I11" s="6">
        <v>510</v>
      </c>
      <c r="J11">
        <v>0.15</v>
      </c>
      <c r="K11" s="6">
        <v>867</v>
      </c>
      <c r="L11" s="6">
        <v>445.79</v>
      </c>
      <c r="M11" s="6">
        <v>421.21</v>
      </c>
      <c r="N11" t="s">
        <v>32</v>
      </c>
    </row>
    <row r="12" spans="1:18" x14ac:dyDescent="0.45">
      <c r="A12">
        <v>1011</v>
      </c>
      <c r="B12" s="1">
        <v>45920</v>
      </c>
      <c r="C12" t="s">
        <v>43</v>
      </c>
      <c r="D12" t="s">
        <v>21</v>
      </c>
      <c r="E12" t="s">
        <v>42</v>
      </c>
      <c r="F12" t="s">
        <v>17</v>
      </c>
      <c r="G12" t="s">
        <v>44</v>
      </c>
      <c r="H12">
        <v>2</v>
      </c>
      <c r="I12" s="6">
        <v>1030</v>
      </c>
      <c r="J12">
        <v>0.15</v>
      </c>
      <c r="K12" s="6">
        <v>1751</v>
      </c>
      <c r="L12" s="6">
        <v>926.98</v>
      </c>
      <c r="M12" s="6">
        <v>824.02</v>
      </c>
      <c r="N12" t="s">
        <v>19</v>
      </c>
    </row>
    <row r="13" spans="1:18" x14ac:dyDescent="0.45">
      <c r="A13">
        <v>1012</v>
      </c>
      <c r="B13" s="1">
        <v>45921</v>
      </c>
      <c r="C13" t="s">
        <v>22</v>
      </c>
      <c r="D13" t="s">
        <v>21</v>
      </c>
      <c r="E13" t="s">
        <v>16</v>
      </c>
      <c r="F13" t="s">
        <v>25</v>
      </c>
      <c r="G13" t="s">
        <v>45</v>
      </c>
      <c r="H13">
        <v>5</v>
      </c>
      <c r="I13" s="6">
        <v>1550</v>
      </c>
      <c r="J13">
        <v>0.15</v>
      </c>
      <c r="K13" s="6">
        <v>6587.5</v>
      </c>
      <c r="L13" s="6">
        <v>3975.96</v>
      </c>
      <c r="M13" s="6">
        <v>2611.54</v>
      </c>
      <c r="N13" t="s">
        <v>34</v>
      </c>
    </row>
    <row r="14" spans="1:18" x14ac:dyDescent="0.45">
      <c r="A14">
        <v>1013</v>
      </c>
      <c r="B14" s="1">
        <v>45922</v>
      </c>
      <c r="C14" t="s">
        <v>36</v>
      </c>
      <c r="D14" t="s">
        <v>21</v>
      </c>
      <c r="E14" t="s">
        <v>29</v>
      </c>
      <c r="F14" t="s">
        <v>17</v>
      </c>
      <c r="G14" t="s">
        <v>44</v>
      </c>
      <c r="H14">
        <v>4</v>
      </c>
      <c r="I14" s="6">
        <v>1930</v>
      </c>
      <c r="J14">
        <v>0</v>
      </c>
      <c r="K14" s="6">
        <v>7720</v>
      </c>
      <c r="L14" s="6">
        <v>6253.34</v>
      </c>
      <c r="M14" s="6">
        <v>1466.66</v>
      </c>
      <c r="N14" t="s">
        <v>34</v>
      </c>
    </row>
    <row r="15" spans="1:18" x14ac:dyDescent="0.45">
      <c r="A15">
        <v>1014</v>
      </c>
      <c r="B15" s="1">
        <v>45923</v>
      </c>
      <c r="C15" t="s">
        <v>46</v>
      </c>
      <c r="D15" t="s">
        <v>15</v>
      </c>
      <c r="E15" t="s">
        <v>29</v>
      </c>
      <c r="F15" t="s">
        <v>17</v>
      </c>
      <c r="G15" t="s">
        <v>44</v>
      </c>
      <c r="H15">
        <v>3</v>
      </c>
      <c r="I15" s="6">
        <v>970</v>
      </c>
      <c r="J15">
        <v>0.15</v>
      </c>
      <c r="K15" s="6">
        <v>2473.5</v>
      </c>
      <c r="L15" s="6">
        <v>1519.42</v>
      </c>
      <c r="M15" s="6">
        <v>954.08</v>
      </c>
      <c r="N15" t="s">
        <v>32</v>
      </c>
    </row>
    <row r="16" spans="1:18" x14ac:dyDescent="0.45">
      <c r="A16">
        <v>1015</v>
      </c>
      <c r="B16" s="1">
        <v>45924</v>
      </c>
      <c r="C16" t="s">
        <v>47</v>
      </c>
      <c r="D16" t="s">
        <v>40</v>
      </c>
      <c r="E16" t="s">
        <v>24</v>
      </c>
      <c r="F16" t="s">
        <v>30</v>
      </c>
      <c r="G16" t="s">
        <v>31</v>
      </c>
      <c r="H16">
        <v>1</v>
      </c>
      <c r="I16" s="6">
        <v>240</v>
      </c>
      <c r="J16">
        <v>0</v>
      </c>
      <c r="K16" s="6">
        <v>240</v>
      </c>
      <c r="L16" s="6">
        <v>160.34</v>
      </c>
      <c r="M16" s="6">
        <v>79.66</v>
      </c>
      <c r="N16" t="s">
        <v>34</v>
      </c>
    </row>
    <row r="17" spans="1:14" x14ac:dyDescent="0.45">
      <c r="A17">
        <v>1016</v>
      </c>
      <c r="B17" s="1">
        <v>45925</v>
      </c>
      <c r="C17" t="s">
        <v>48</v>
      </c>
      <c r="D17" t="s">
        <v>23</v>
      </c>
      <c r="E17" t="s">
        <v>42</v>
      </c>
      <c r="F17" t="s">
        <v>17</v>
      </c>
      <c r="G17" t="s">
        <v>18</v>
      </c>
      <c r="H17">
        <v>3</v>
      </c>
      <c r="I17" s="6">
        <v>1560</v>
      </c>
      <c r="J17">
        <v>0.15</v>
      </c>
      <c r="K17" s="6">
        <v>3978</v>
      </c>
      <c r="L17" s="6">
        <v>2876.34</v>
      </c>
      <c r="M17" s="6">
        <v>1101.6600000000001</v>
      </c>
      <c r="N17" t="s">
        <v>19</v>
      </c>
    </row>
    <row r="18" spans="1:14" x14ac:dyDescent="0.45">
      <c r="A18">
        <v>1017</v>
      </c>
      <c r="B18" s="1">
        <v>45926</v>
      </c>
      <c r="C18" t="s">
        <v>49</v>
      </c>
      <c r="D18" t="s">
        <v>15</v>
      </c>
      <c r="E18" t="s">
        <v>29</v>
      </c>
      <c r="F18" t="s">
        <v>25</v>
      </c>
      <c r="G18" t="s">
        <v>26</v>
      </c>
      <c r="H18">
        <v>4</v>
      </c>
      <c r="I18" s="6">
        <v>820</v>
      </c>
      <c r="J18">
        <v>0.15</v>
      </c>
      <c r="K18" s="6">
        <v>2788</v>
      </c>
      <c r="L18" s="6">
        <v>2150.02</v>
      </c>
      <c r="M18" s="6">
        <v>637.98</v>
      </c>
      <c r="N18" t="s">
        <v>32</v>
      </c>
    </row>
    <row r="19" spans="1:14" x14ac:dyDescent="0.45">
      <c r="A19">
        <v>1018</v>
      </c>
      <c r="B19" s="1">
        <v>45927</v>
      </c>
      <c r="C19" t="s">
        <v>50</v>
      </c>
      <c r="D19" t="s">
        <v>28</v>
      </c>
      <c r="E19" t="s">
        <v>16</v>
      </c>
      <c r="F19" t="s">
        <v>25</v>
      </c>
      <c r="G19" t="s">
        <v>45</v>
      </c>
      <c r="H19">
        <v>2</v>
      </c>
      <c r="I19" s="6">
        <v>1410</v>
      </c>
      <c r="J19">
        <v>0</v>
      </c>
      <c r="K19" s="6">
        <v>2820</v>
      </c>
      <c r="L19" s="6">
        <v>2433.0300000000002</v>
      </c>
      <c r="M19" s="6">
        <v>386.97</v>
      </c>
      <c r="N19" t="s">
        <v>19</v>
      </c>
    </row>
    <row r="20" spans="1:14" x14ac:dyDescent="0.45">
      <c r="A20">
        <v>1019</v>
      </c>
      <c r="B20" s="1">
        <v>45928</v>
      </c>
      <c r="C20" t="s">
        <v>39</v>
      </c>
      <c r="D20" t="s">
        <v>28</v>
      </c>
      <c r="E20" t="s">
        <v>24</v>
      </c>
      <c r="F20" t="s">
        <v>17</v>
      </c>
      <c r="G20" t="s">
        <v>18</v>
      </c>
      <c r="H20">
        <v>2</v>
      </c>
      <c r="I20" s="6">
        <v>1130</v>
      </c>
      <c r="J20">
        <v>0.15</v>
      </c>
      <c r="K20" s="6">
        <v>1921</v>
      </c>
      <c r="L20" s="6">
        <v>1597.36</v>
      </c>
      <c r="M20" s="6">
        <v>323.64</v>
      </c>
      <c r="N20" t="s">
        <v>19</v>
      </c>
    </row>
    <row r="21" spans="1:14" x14ac:dyDescent="0.45">
      <c r="A21">
        <v>1020</v>
      </c>
      <c r="B21" s="1">
        <v>45929</v>
      </c>
      <c r="C21" t="s">
        <v>51</v>
      </c>
      <c r="D21" t="s">
        <v>28</v>
      </c>
      <c r="E21" t="s">
        <v>24</v>
      </c>
      <c r="F21" t="s">
        <v>30</v>
      </c>
      <c r="G21" t="s">
        <v>37</v>
      </c>
      <c r="H21">
        <v>5</v>
      </c>
      <c r="I21" s="6">
        <v>1760</v>
      </c>
      <c r="J21">
        <v>0.15</v>
      </c>
      <c r="K21" s="6">
        <v>7480</v>
      </c>
      <c r="L21" s="6">
        <v>4866.03</v>
      </c>
      <c r="M21" s="6">
        <v>2613.9699999999998</v>
      </c>
      <c r="N21" t="s">
        <v>19</v>
      </c>
    </row>
    <row r="22" spans="1:14" x14ac:dyDescent="0.45">
      <c r="A22">
        <v>1021</v>
      </c>
      <c r="B22" s="1">
        <v>45930</v>
      </c>
      <c r="C22" t="s">
        <v>46</v>
      </c>
      <c r="D22" t="s">
        <v>28</v>
      </c>
      <c r="E22" t="s">
        <v>29</v>
      </c>
      <c r="F22" t="s">
        <v>30</v>
      </c>
      <c r="G22" t="s">
        <v>31</v>
      </c>
      <c r="H22">
        <v>5</v>
      </c>
      <c r="I22" s="6">
        <v>1970</v>
      </c>
      <c r="J22">
        <v>0.15</v>
      </c>
      <c r="K22" s="6">
        <v>8372.5</v>
      </c>
      <c r="L22" s="6">
        <v>5991.11</v>
      </c>
      <c r="M22" s="6">
        <v>2381.39</v>
      </c>
      <c r="N22" t="s">
        <v>32</v>
      </c>
    </row>
    <row r="23" spans="1:14" x14ac:dyDescent="0.45">
      <c r="A23">
        <v>1022</v>
      </c>
      <c r="B23" s="1">
        <v>45931</v>
      </c>
      <c r="C23" t="s">
        <v>52</v>
      </c>
      <c r="D23" t="s">
        <v>28</v>
      </c>
      <c r="E23" t="s">
        <v>29</v>
      </c>
      <c r="F23" t="s">
        <v>17</v>
      </c>
      <c r="G23" t="s">
        <v>18</v>
      </c>
      <c r="H23">
        <v>5</v>
      </c>
      <c r="I23" s="6">
        <v>1490</v>
      </c>
      <c r="J23">
        <v>0.1</v>
      </c>
      <c r="K23" s="6">
        <v>6705</v>
      </c>
      <c r="L23" s="6">
        <v>4697.5200000000004</v>
      </c>
      <c r="M23" s="6">
        <v>2007.48</v>
      </c>
      <c r="N23" t="s">
        <v>34</v>
      </c>
    </row>
    <row r="24" spans="1:14" x14ac:dyDescent="0.45">
      <c r="A24">
        <v>1023</v>
      </c>
      <c r="B24" s="1">
        <v>45932</v>
      </c>
      <c r="C24" t="s">
        <v>53</v>
      </c>
      <c r="D24" t="s">
        <v>21</v>
      </c>
      <c r="E24" t="s">
        <v>24</v>
      </c>
      <c r="F24" t="s">
        <v>17</v>
      </c>
      <c r="G24" t="s">
        <v>18</v>
      </c>
      <c r="H24">
        <v>2</v>
      </c>
      <c r="I24" s="6">
        <v>640</v>
      </c>
      <c r="J24">
        <v>0.15</v>
      </c>
      <c r="K24" s="6">
        <v>1088</v>
      </c>
      <c r="L24" s="6">
        <v>832.13</v>
      </c>
      <c r="M24" s="6">
        <v>255.87</v>
      </c>
      <c r="N24" t="s">
        <v>19</v>
      </c>
    </row>
    <row r="25" spans="1:14" x14ac:dyDescent="0.45">
      <c r="A25">
        <v>1024</v>
      </c>
      <c r="B25" s="1">
        <v>45933</v>
      </c>
      <c r="C25" t="s">
        <v>54</v>
      </c>
      <c r="D25" t="s">
        <v>15</v>
      </c>
      <c r="E25" t="s">
        <v>29</v>
      </c>
      <c r="F25" t="s">
        <v>25</v>
      </c>
      <c r="G25" t="s">
        <v>26</v>
      </c>
      <c r="H25">
        <v>4</v>
      </c>
      <c r="I25" s="6">
        <v>1510</v>
      </c>
      <c r="J25">
        <v>0.1</v>
      </c>
      <c r="K25" s="6">
        <v>5436</v>
      </c>
      <c r="L25" s="6">
        <v>3105.12</v>
      </c>
      <c r="M25" s="6">
        <v>2330.88</v>
      </c>
      <c r="N25" t="s">
        <v>32</v>
      </c>
    </row>
    <row r="26" spans="1:14" x14ac:dyDescent="0.45">
      <c r="A26">
        <v>1025</v>
      </c>
      <c r="B26" s="1">
        <v>45934</v>
      </c>
      <c r="C26" t="s">
        <v>55</v>
      </c>
      <c r="D26" t="s">
        <v>21</v>
      </c>
      <c r="E26" t="s">
        <v>29</v>
      </c>
      <c r="F26" t="s">
        <v>30</v>
      </c>
      <c r="G26" t="s">
        <v>37</v>
      </c>
      <c r="H26">
        <v>4</v>
      </c>
      <c r="I26" s="6">
        <v>290</v>
      </c>
      <c r="J26">
        <v>0.1</v>
      </c>
      <c r="K26" s="6">
        <v>1044</v>
      </c>
      <c r="L26" s="6">
        <v>664.01</v>
      </c>
      <c r="M26" s="6">
        <v>379.99</v>
      </c>
      <c r="N26" t="s">
        <v>32</v>
      </c>
    </row>
    <row r="27" spans="1:14" x14ac:dyDescent="0.45">
      <c r="A27">
        <v>1026</v>
      </c>
      <c r="B27" s="1">
        <v>45935</v>
      </c>
      <c r="C27" t="s">
        <v>56</v>
      </c>
      <c r="D27" t="s">
        <v>28</v>
      </c>
      <c r="E27" t="s">
        <v>16</v>
      </c>
      <c r="F27" t="s">
        <v>17</v>
      </c>
      <c r="G27" t="s">
        <v>44</v>
      </c>
      <c r="H27">
        <v>1</v>
      </c>
      <c r="I27" s="6">
        <v>1650</v>
      </c>
      <c r="J27">
        <v>0.05</v>
      </c>
      <c r="K27" s="6">
        <v>1567.5</v>
      </c>
      <c r="L27" s="6">
        <v>1349.33</v>
      </c>
      <c r="M27" s="6">
        <v>218.17</v>
      </c>
      <c r="N27" t="s">
        <v>19</v>
      </c>
    </row>
    <row r="28" spans="1:14" x14ac:dyDescent="0.45">
      <c r="A28">
        <v>1027</v>
      </c>
      <c r="B28" s="1">
        <v>45936</v>
      </c>
      <c r="C28" t="s">
        <v>22</v>
      </c>
      <c r="D28" t="s">
        <v>28</v>
      </c>
      <c r="E28" t="s">
        <v>16</v>
      </c>
      <c r="F28" t="s">
        <v>25</v>
      </c>
      <c r="G28" t="s">
        <v>45</v>
      </c>
      <c r="H28">
        <v>2</v>
      </c>
      <c r="I28" s="6">
        <v>560</v>
      </c>
      <c r="J28">
        <v>0.1</v>
      </c>
      <c r="K28" s="6">
        <v>1008</v>
      </c>
      <c r="L28" s="6">
        <v>601.16</v>
      </c>
      <c r="M28" s="6">
        <v>406.84</v>
      </c>
      <c r="N28" t="s">
        <v>34</v>
      </c>
    </row>
    <row r="29" spans="1:14" x14ac:dyDescent="0.45">
      <c r="A29">
        <v>1028</v>
      </c>
      <c r="B29" s="1">
        <v>45937</v>
      </c>
      <c r="C29" t="s">
        <v>33</v>
      </c>
      <c r="D29" t="s">
        <v>40</v>
      </c>
      <c r="E29" t="s">
        <v>24</v>
      </c>
      <c r="F29" t="s">
        <v>30</v>
      </c>
      <c r="G29" t="s">
        <v>37</v>
      </c>
      <c r="H29">
        <v>1</v>
      </c>
      <c r="I29" s="6">
        <v>1380</v>
      </c>
      <c r="J29">
        <v>0.05</v>
      </c>
      <c r="K29" s="6">
        <v>1311</v>
      </c>
      <c r="L29" s="6">
        <v>882.61</v>
      </c>
      <c r="M29" s="6">
        <v>428.39</v>
      </c>
      <c r="N29" t="s">
        <v>19</v>
      </c>
    </row>
    <row r="30" spans="1:14" x14ac:dyDescent="0.45">
      <c r="A30">
        <v>1029</v>
      </c>
      <c r="B30" s="1">
        <v>45938</v>
      </c>
      <c r="C30" t="s">
        <v>57</v>
      </c>
      <c r="D30" t="s">
        <v>21</v>
      </c>
      <c r="E30" t="s">
        <v>16</v>
      </c>
      <c r="F30" t="s">
        <v>30</v>
      </c>
      <c r="G30" t="s">
        <v>37</v>
      </c>
      <c r="H30">
        <v>3</v>
      </c>
      <c r="I30" s="6">
        <v>1870</v>
      </c>
      <c r="J30">
        <v>0</v>
      </c>
      <c r="K30" s="6">
        <v>5610</v>
      </c>
      <c r="L30" s="6">
        <v>3352.08</v>
      </c>
      <c r="M30" s="6">
        <v>2257.92</v>
      </c>
      <c r="N30" t="s">
        <v>19</v>
      </c>
    </row>
    <row r="31" spans="1:14" x14ac:dyDescent="0.45">
      <c r="A31">
        <v>1030</v>
      </c>
      <c r="B31" s="1">
        <v>45939</v>
      </c>
      <c r="C31" t="s">
        <v>49</v>
      </c>
      <c r="D31" t="s">
        <v>28</v>
      </c>
      <c r="E31" t="s">
        <v>24</v>
      </c>
      <c r="F31" t="s">
        <v>30</v>
      </c>
      <c r="G31" t="s">
        <v>31</v>
      </c>
      <c r="H31">
        <v>5</v>
      </c>
      <c r="I31" s="6">
        <v>1030</v>
      </c>
      <c r="J31">
        <v>0.15</v>
      </c>
      <c r="K31" s="6">
        <v>4377.5</v>
      </c>
      <c r="L31" s="6">
        <v>2420.9</v>
      </c>
      <c r="M31" s="6">
        <v>1956.6</v>
      </c>
      <c r="N31" t="s">
        <v>34</v>
      </c>
    </row>
    <row r="32" spans="1:14" x14ac:dyDescent="0.45">
      <c r="A32">
        <v>1031</v>
      </c>
      <c r="B32" s="1">
        <v>45940</v>
      </c>
      <c r="C32" t="s">
        <v>58</v>
      </c>
      <c r="D32" t="s">
        <v>23</v>
      </c>
      <c r="E32" t="s">
        <v>42</v>
      </c>
      <c r="F32" t="s">
        <v>17</v>
      </c>
      <c r="G32" t="s">
        <v>18</v>
      </c>
      <c r="H32">
        <v>5</v>
      </c>
      <c r="I32" s="6">
        <v>760</v>
      </c>
      <c r="J32">
        <v>0.05</v>
      </c>
      <c r="K32" s="6">
        <v>3610</v>
      </c>
      <c r="L32" s="6">
        <v>2104.8200000000002</v>
      </c>
      <c r="M32" s="6">
        <v>1505.18</v>
      </c>
      <c r="N32" t="s">
        <v>32</v>
      </c>
    </row>
    <row r="33" spans="1:14" x14ac:dyDescent="0.45">
      <c r="A33">
        <v>1032</v>
      </c>
      <c r="B33" s="1">
        <v>45941</v>
      </c>
      <c r="C33" t="s">
        <v>59</v>
      </c>
      <c r="D33" t="s">
        <v>40</v>
      </c>
      <c r="E33" t="s">
        <v>42</v>
      </c>
      <c r="F33" t="s">
        <v>17</v>
      </c>
      <c r="G33" t="s">
        <v>44</v>
      </c>
      <c r="H33">
        <v>1</v>
      </c>
      <c r="I33" s="6">
        <v>230</v>
      </c>
      <c r="J33">
        <v>0.1</v>
      </c>
      <c r="K33" s="6">
        <v>207</v>
      </c>
      <c r="L33" s="6">
        <v>123.22</v>
      </c>
      <c r="M33" s="6">
        <v>83.78</v>
      </c>
      <c r="N33" t="s">
        <v>19</v>
      </c>
    </row>
    <row r="34" spans="1:14" x14ac:dyDescent="0.45">
      <c r="A34">
        <v>1033</v>
      </c>
      <c r="B34" s="1">
        <v>45942</v>
      </c>
      <c r="C34" t="s">
        <v>43</v>
      </c>
      <c r="D34" t="s">
        <v>28</v>
      </c>
      <c r="E34" t="s">
        <v>42</v>
      </c>
      <c r="F34" t="s">
        <v>25</v>
      </c>
      <c r="G34" t="s">
        <v>45</v>
      </c>
      <c r="H34">
        <v>3</v>
      </c>
      <c r="I34" s="6">
        <v>1340</v>
      </c>
      <c r="J34">
        <v>0.1</v>
      </c>
      <c r="K34" s="6">
        <v>3618</v>
      </c>
      <c r="L34" s="6">
        <v>3253.3</v>
      </c>
      <c r="M34" s="6">
        <v>364.7</v>
      </c>
      <c r="N34" t="s">
        <v>19</v>
      </c>
    </row>
    <row r="35" spans="1:14" x14ac:dyDescent="0.45">
      <c r="A35">
        <v>1034</v>
      </c>
      <c r="B35" s="1">
        <v>45943</v>
      </c>
      <c r="C35" t="s">
        <v>51</v>
      </c>
      <c r="D35" t="s">
        <v>40</v>
      </c>
      <c r="E35" t="s">
        <v>29</v>
      </c>
      <c r="F35" t="s">
        <v>30</v>
      </c>
      <c r="G35" t="s">
        <v>31</v>
      </c>
      <c r="H35">
        <v>4</v>
      </c>
      <c r="I35" s="6">
        <v>260</v>
      </c>
      <c r="J35">
        <v>0</v>
      </c>
      <c r="K35" s="6">
        <v>1040</v>
      </c>
      <c r="L35" s="6">
        <v>792.14</v>
      </c>
      <c r="M35" s="6">
        <v>247.86</v>
      </c>
      <c r="N35" t="s">
        <v>19</v>
      </c>
    </row>
    <row r="36" spans="1:14" x14ac:dyDescent="0.45">
      <c r="A36">
        <v>1035</v>
      </c>
      <c r="B36" s="1">
        <v>45944</v>
      </c>
      <c r="C36" t="s">
        <v>20</v>
      </c>
      <c r="D36" t="s">
        <v>15</v>
      </c>
      <c r="E36" t="s">
        <v>42</v>
      </c>
      <c r="F36" t="s">
        <v>30</v>
      </c>
      <c r="G36" t="s">
        <v>31</v>
      </c>
      <c r="H36">
        <v>3</v>
      </c>
      <c r="I36" s="6">
        <v>1040</v>
      </c>
      <c r="J36">
        <v>0.1</v>
      </c>
      <c r="K36" s="6">
        <v>2808</v>
      </c>
      <c r="L36" s="6">
        <v>1756.86</v>
      </c>
      <c r="M36" s="6">
        <v>1051.1400000000001</v>
      </c>
      <c r="N36" t="s">
        <v>19</v>
      </c>
    </row>
    <row r="37" spans="1:14" x14ac:dyDescent="0.45">
      <c r="A37">
        <v>1036</v>
      </c>
      <c r="B37" s="1">
        <v>45945</v>
      </c>
      <c r="C37" t="s">
        <v>54</v>
      </c>
      <c r="D37" t="s">
        <v>23</v>
      </c>
      <c r="E37" t="s">
        <v>16</v>
      </c>
      <c r="F37" t="s">
        <v>30</v>
      </c>
      <c r="G37" t="s">
        <v>37</v>
      </c>
      <c r="H37">
        <v>4</v>
      </c>
      <c r="I37" s="6">
        <v>920</v>
      </c>
      <c r="J37">
        <v>0.05</v>
      </c>
      <c r="K37" s="6">
        <v>3496</v>
      </c>
      <c r="L37" s="6">
        <v>2967.21</v>
      </c>
      <c r="M37" s="6">
        <v>528.79</v>
      </c>
      <c r="N37" t="s">
        <v>34</v>
      </c>
    </row>
    <row r="38" spans="1:14" x14ac:dyDescent="0.45">
      <c r="A38">
        <v>1037</v>
      </c>
      <c r="B38" s="1">
        <v>45946</v>
      </c>
      <c r="C38" t="s">
        <v>60</v>
      </c>
      <c r="D38" t="s">
        <v>40</v>
      </c>
      <c r="E38" t="s">
        <v>24</v>
      </c>
      <c r="F38" t="s">
        <v>17</v>
      </c>
      <c r="G38" t="s">
        <v>18</v>
      </c>
      <c r="H38">
        <v>5</v>
      </c>
      <c r="I38" s="6">
        <v>1730</v>
      </c>
      <c r="J38">
        <v>0.1</v>
      </c>
      <c r="K38" s="6">
        <v>7785</v>
      </c>
      <c r="L38" s="6">
        <v>6673.88</v>
      </c>
      <c r="M38" s="6">
        <v>1111.1199999999999</v>
      </c>
      <c r="N38" t="s">
        <v>34</v>
      </c>
    </row>
    <row r="39" spans="1:14" x14ac:dyDescent="0.45">
      <c r="A39">
        <v>1038</v>
      </c>
      <c r="B39" s="1">
        <v>45947</v>
      </c>
      <c r="C39" t="s">
        <v>43</v>
      </c>
      <c r="D39" t="s">
        <v>15</v>
      </c>
      <c r="E39" t="s">
        <v>42</v>
      </c>
      <c r="F39" t="s">
        <v>25</v>
      </c>
      <c r="G39" t="s">
        <v>45</v>
      </c>
      <c r="H39">
        <v>2</v>
      </c>
      <c r="I39" s="6">
        <v>1730</v>
      </c>
      <c r="J39">
        <v>0.05</v>
      </c>
      <c r="K39" s="6">
        <v>3287</v>
      </c>
      <c r="L39" s="6">
        <v>2029.13</v>
      </c>
      <c r="M39" s="6">
        <v>1257.8699999999999</v>
      </c>
      <c r="N39" t="s">
        <v>19</v>
      </c>
    </row>
    <row r="40" spans="1:14" x14ac:dyDescent="0.45">
      <c r="A40">
        <v>1039</v>
      </c>
      <c r="B40" s="1">
        <v>45948</v>
      </c>
      <c r="C40" t="s">
        <v>58</v>
      </c>
      <c r="D40" t="s">
        <v>28</v>
      </c>
      <c r="E40" t="s">
        <v>16</v>
      </c>
      <c r="F40" t="s">
        <v>30</v>
      </c>
      <c r="G40" t="s">
        <v>37</v>
      </c>
      <c r="H40">
        <v>5</v>
      </c>
      <c r="I40" s="6">
        <v>430</v>
      </c>
      <c r="J40">
        <v>0.1</v>
      </c>
      <c r="K40" s="6">
        <v>1935</v>
      </c>
      <c r="L40" s="6">
        <v>1221.1199999999999</v>
      </c>
      <c r="M40" s="6">
        <v>713.88</v>
      </c>
      <c r="N40" t="s">
        <v>19</v>
      </c>
    </row>
    <row r="41" spans="1:14" x14ac:dyDescent="0.45">
      <c r="A41">
        <v>1040</v>
      </c>
      <c r="B41" s="1">
        <v>45949</v>
      </c>
      <c r="C41" t="s">
        <v>61</v>
      </c>
      <c r="D41" t="s">
        <v>23</v>
      </c>
      <c r="E41" t="s">
        <v>42</v>
      </c>
      <c r="F41" t="s">
        <v>17</v>
      </c>
      <c r="G41" t="s">
        <v>44</v>
      </c>
      <c r="H41">
        <v>2</v>
      </c>
      <c r="I41" s="6">
        <v>580</v>
      </c>
      <c r="J41">
        <v>0.05</v>
      </c>
      <c r="K41" s="6">
        <v>1102</v>
      </c>
      <c r="L41" s="6">
        <v>928.62</v>
      </c>
      <c r="M41" s="6">
        <v>173.38</v>
      </c>
      <c r="N41" t="s">
        <v>34</v>
      </c>
    </row>
    <row r="42" spans="1:14" x14ac:dyDescent="0.45">
      <c r="A42">
        <v>1041</v>
      </c>
      <c r="B42" s="1">
        <v>45950</v>
      </c>
      <c r="C42" t="s">
        <v>62</v>
      </c>
      <c r="D42" t="s">
        <v>21</v>
      </c>
      <c r="E42" t="s">
        <v>16</v>
      </c>
      <c r="F42" t="s">
        <v>17</v>
      </c>
      <c r="G42" t="s">
        <v>44</v>
      </c>
      <c r="H42">
        <v>5</v>
      </c>
      <c r="I42" s="6">
        <v>1980</v>
      </c>
      <c r="J42">
        <v>0.1</v>
      </c>
      <c r="K42" s="6">
        <v>8910</v>
      </c>
      <c r="L42" s="6">
        <v>7340.44</v>
      </c>
      <c r="M42" s="6">
        <v>1569.56</v>
      </c>
      <c r="N42" t="s">
        <v>34</v>
      </c>
    </row>
    <row r="43" spans="1:14" x14ac:dyDescent="0.45">
      <c r="A43">
        <v>1042</v>
      </c>
      <c r="B43" s="1">
        <v>45951</v>
      </c>
      <c r="C43" t="s">
        <v>63</v>
      </c>
      <c r="D43" t="s">
        <v>21</v>
      </c>
      <c r="E43" t="s">
        <v>16</v>
      </c>
      <c r="F43" t="s">
        <v>25</v>
      </c>
      <c r="G43" t="s">
        <v>45</v>
      </c>
      <c r="H43">
        <v>5</v>
      </c>
      <c r="I43" s="6">
        <v>1860</v>
      </c>
      <c r="J43">
        <v>0</v>
      </c>
      <c r="K43" s="6">
        <v>9300</v>
      </c>
      <c r="L43" s="6">
        <v>6142.59</v>
      </c>
      <c r="M43" s="6">
        <v>3157.41</v>
      </c>
      <c r="N43" t="s">
        <v>32</v>
      </c>
    </row>
    <row r="44" spans="1:14" x14ac:dyDescent="0.45">
      <c r="A44">
        <v>1043</v>
      </c>
      <c r="B44" s="1">
        <v>45952</v>
      </c>
      <c r="C44" t="s">
        <v>64</v>
      </c>
      <c r="D44" t="s">
        <v>21</v>
      </c>
      <c r="E44" t="s">
        <v>29</v>
      </c>
      <c r="F44" t="s">
        <v>17</v>
      </c>
      <c r="G44" t="s">
        <v>44</v>
      </c>
      <c r="H44">
        <v>3</v>
      </c>
      <c r="I44" s="6">
        <v>1360</v>
      </c>
      <c r="J44">
        <v>0.1</v>
      </c>
      <c r="K44" s="6">
        <v>3672</v>
      </c>
      <c r="L44" s="6">
        <v>2502.98</v>
      </c>
      <c r="M44" s="6">
        <v>1169.02</v>
      </c>
      <c r="N44" t="s">
        <v>19</v>
      </c>
    </row>
    <row r="45" spans="1:14" x14ac:dyDescent="0.45">
      <c r="A45">
        <v>1044</v>
      </c>
      <c r="B45" s="1">
        <v>45953</v>
      </c>
      <c r="C45" t="s">
        <v>55</v>
      </c>
      <c r="D45" t="s">
        <v>23</v>
      </c>
      <c r="E45" t="s">
        <v>42</v>
      </c>
      <c r="F45" t="s">
        <v>17</v>
      </c>
      <c r="G45" t="s">
        <v>18</v>
      </c>
      <c r="H45">
        <v>5</v>
      </c>
      <c r="I45" s="6">
        <v>1730</v>
      </c>
      <c r="J45">
        <v>0.1</v>
      </c>
      <c r="K45" s="6">
        <v>7785</v>
      </c>
      <c r="L45" s="6">
        <v>4515.8999999999996</v>
      </c>
      <c r="M45" s="6">
        <v>3269.1</v>
      </c>
      <c r="N45" t="s">
        <v>19</v>
      </c>
    </row>
    <row r="46" spans="1:14" x14ac:dyDescent="0.45">
      <c r="A46">
        <v>1045</v>
      </c>
      <c r="B46" s="1">
        <v>45954</v>
      </c>
      <c r="C46" t="s">
        <v>41</v>
      </c>
      <c r="D46" t="s">
        <v>21</v>
      </c>
      <c r="E46" t="s">
        <v>24</v>
      </c>
      <c r="F46" t="s">
        <v>25</v>
      </c>
      <c r="G46" t="s">
        <v>26</v>
      </c>
      <c r="H46">
        <v>1</v>
      </c>
      <c r="I46" s="6">
        <v>1390</v>
      </c>
      <c r="J46">
        <v>0.05</v>
      </c>
      <c r="K46" s="6">
        <v>1320.5</v>
      </c>
      <c r="L46" s="6">
        <v>969.94</v>
      </c>
      <c r="M46" s="6">
        <v>350.56</v>
      </c>
      <c r="N46" t="s">
        <v>34</v>
      </c>
    </row>
    <row r="47" spans="1:14" x14ac:dyDescent="0.45">
      <c r="A47">
        <v>1046</v>
      </c>
      <c r="B47" s="1">
        <v>45955</v>
      </c>
      <c r="C47" t="s">
        <v>65</v>
      </c>
      <c r="D47" t="s">
        <v>28</v>
      </c>
      <c r="E47" t="s">
        <v>42</v>
      </c>
      <c r="F47" t="s">
        <v>17</v>
      </c>
      <c r="G47" t="s">
        <v>18</v>
      </c>
      <c r="H47">
        <v>4</v>
      </c>
      <c r="I47" s="6">
        <v>970</v>
      </c>
      <c r="J47">
        <v>0.05</v>
      </c>
      <c r="K47" s="6">
        <v>3686</v>
      </c>
      <c r="L47" s="6">
        <v>2519.4899999999998</v>
      </c>
      <c r="M47" s="6">
        <v>1166.51</v>
      </c>
      <c r="N47" t="s">
        <v>32</v>
      </c>
    </row>
    <row r="48" spans="1:14" x14ac:dyDescent="0.45">
      <c r="A48">
        <v>1047</v>
      </c>
      <c r="B48" s="1">
        <v>45956</v>
      </c>
      <c r="C48" t="s">
        <v>35</v>
      </c>
      <c r="D48" t="s">
        <v>28</v>
      </c>
      <c r="E48" t="s">
        <v>16</v>
      </c>
      <c r="F48" t="s">
        <v>30</v>
      </c>
      <c r="G48" t="s">
        <v>31</v>
      </c>
      <c r="H48">
        <v>1</v>
      </c>
      <c r="I48" s="6">
        <v>1340</v>
      </c>
      <c r="J48">
        <v>0.15</v>
      </c>
      <c r="K48" s="6">
        <v>1139</v>
      </c>
      <c r="L48" s="6">
        <v>838.88</v>
      </c>
      <c r="M48" s="6">
        <v>300.12</v>
      </c>
      <c r="N48" t="s">
        <v>32</v>
      </c>
    </row>
    <row r="49" spans="1:14" x14ac:dyDescent="0.45">
      <c r="A49">
        <v>1048</v>
      </c>
      <c r="B49" s="1">
        <v>45957</v>
      </c>
      <c r="C49" t="s">
        <v>66</v>
      </c>
      <c r="D49" t="s">
        <v>23</v>
      </c>
      <c r="E49" t="s">
        <v>29</v>
      </c>
      <c r="F49" t="s">
        <v>25</v>
      </c>
      <c r="G49" t="s">
        <v>26</v>
      </c>
      <c r="H49">
        <v>3</v>
      </c>
      <c r="I49" s="6">
        <v>410</v>
      </c>
      <c r="J49">
        <v>0.15</v>
      </c>
      <c r="K49" s="6">
        <v>1045.5</v>
      </c>
      <c r="L49" s="6">
        <v>736.83</v>
      </c>
      <c r="M49" s="6">
        <v>308.67</v>
      </c>
      <c r="N49" t="s">
        <v>34</v>
      </c>
    </row>
    <row r="50" spans="1:14" x14ac:dyDescent="0.45">
      <c r="A50">
        <v>1049</v>
      </c>
      <c r="B50" s="1">
        <v>45958</v>
      </c>
      <c r="C50" t="s">
        <v>67</v>
      </c>
      <c r="D50" t="s">
        <v>15</v>
      </c>
      <c r="E50" t="s">
        <v>24</v>
      </c>
      <c r="F50" t="s">
        <v>30</v>
      </c>
      <c r="G50" t="s">
        <v>31</v>
      </c>
      <c r="H50">
        <v>3</v>
      </c>
      <c r="I50" s="6">
        <v>1820</v>
      </c>
      <c r="J50">
        <v>0.1</v>
      </c>
      <c r="K50" s="6">
        <v>4914</v>
      </c>
      <c r="L50" s="6">
        <v>2748.81</v>
      </c>
      <c r="M50" s="6">
        <v>2165.19</v>
      </c>
      <c r="N50" t="s">
        <v>32</v>
      </c>
    </row>
    <row r="51" spans="1:14" x14ac:dyDescent="0.45">
      <c r="A51">
        <v>1050</v>
      </c>
      <c r="B51" s="1">
        <v>45959</v>
      </c>
      <c r="C51" t="s">
        <v>68</v>
      </c>
      <c r="D51" t="s">
        <v>23</v>
      </c>
      <c r="E51" t="s">
        <v>16</v>
      </c>
      <c r="F51" t="s">
        <v>30</v>
      </c>
      <c r="G51" t="s">
        <v>31</v>
      </c>
      <c r="H51">
        <v>2</v>
      </c>
      <c r="I51" s="6">
        <v>1900</v>
      </c>
      <c r="J51">
        <v>0.1</v>
      </c>
      <c r="K51" s="6">
        <v>3420</v>
      </c>
      <c r="L51" s="6">
        <v>2233.7800000000002</v>
      </c>
      <c r="M51" s="6">
        <v>1186.22</v>
      </c>
      <c r="N51" t="s">
        <v>34</v>
      </c>
    </row>
    <row r="52" spans="1:14" x14ac:dyDescent="0.45">
      <c r="A52">
        <v>1051</v>
      </c>
      <c r="B52" s="1">
        <v>45960</v>
      </c>
      <c r="C52" t="s">
        <v>67</v>
      </c>
      <c r="D52" t="s">
        <v>40</v>
      </c>
      <c r="E52" t="s">
        <v>24</v>
      </c>
      <c r="F52" t="s">
        <v>30</v>
      </c>
      <c r="G52" t="s">
        <v>37</v>
      </c>
      <c r="H52">
        <v>5</v>
      </c>
      <c r="I52" s="6">
        <v>320</v>
      </c>
      <c r="J52">
        <v>0.15</v>
      </c>
      <c r="K52" s="6">
        <v>1360</v>
      </c>
      <c r="L52" s="6">
        <v>688.19</v>
      </c>
      <c r="M52" s="6">
        <v>671.81</v>
      </c>
      <c r="N52" t="s">
        <v>32</v>
      </c>
    </row>
    <row r="53" spans="1:14" x14ac:dyDescent="0.45">
      <c r="A53">
        <v>1052</v>
      </c>
      <c r="B53" s="1">
        <v>45961</v>
      </c>
      <c r="C53" t="s">
        <v>69</v>
      </c>
      <c r="D53" t="s">
        <v>15</v>
      </c>
      <c r="E53" t="s">
        <v>42</v>
      </c>
      <c r="F53" t="s">
        <v>30</v>
      </c>
      <c r="G53" t="s">
        <v>37</v>
      </c>
      <c r="H53">
        <v>2</v>
      </c>
      <c r="I53" s="6">
        <v>1150</v>
      </c>
      <c r="J53">
        <v>0</v>
      </c>
      <c r="K53" s="6">
        <v>2300</v>
      </c>
      <c r="L53" s="6">
        <v>1557.27</v>
      </c>
      <c r="M53" s="6">
        <v>742.73</v>
      </c>
      <c r="N53" t="s">
        <v>19</v>
      </c>
    </row>
    <row r="54" spans="1:14" x14ac:dyDescent="0.45">
      <c r="A54">
        <v>1053</v>
      </c>
      <c r="B54" s="1">
        <v>45962</v>
      </c>
      <c r="C54" t="s">
        <v>70</v>
      </c>
      <c r="D54" t="s">
        <v>40</v>
      </c>
      <c r="E54" t="s">
        <v>16</v>
      </c>
      <c r="F54" t="s">
        <v>30</v>
      </c>
      <c r="G54" t="s">
        <v>31</v>
      </c>
      <c r="H54">
        <v>4</v>
      </c>
      <c r="I54" s="6">
        <v>1850</v>
      </c>
      <c r="J54">
        <v>0.1</v>
      </c>
      <c r="K54" s="6">
        <v>6660</v>
      </c>
      <c r="L54" s="6">
        <v>4867.24</v>
      </c>
      <c r="M54" s="6">
        <v>1792.76</v>
      </c>
      <c r="N54" t="s">
        <v>34</v>
      </c>
    </row>
    <row r="55" spans="1:14" x14ac:dyDescent="0.45">
      <c r="A55">
        <v>1054</v>
      </c>
      <c r="B55" s="1">
        <v>45963</v>
      </c>
      <c r="C55" t="s">
        <v>71</v>
      </c>
      <c r="D55" t="s">
        <v>23</v>
      </c>
      <c r="E55" t="s">
        <v>24</v>
      </c>
      <c r="F55" t="s">
        <v>17</v>
      </c>
      <c r="G55" t="s">
        <v>18</v>
      </c>
      <c r="H55">
        <v>2</v>
      </c>
      <c r="I55" s="6">
        <v>970</v>
      </c>
      <c r="J55">
        <v>0.15</v>
      </c>
      <c r="K55" s="6">
        <v>1649</v>
      </c>
      <c r="L55" s="6">
        <v>1092.47</v>
      </c>
      <c r="M55" s="6">
        <v>556.53</v>
      </c>
      <c r="N55" t="s">
        <v>32</v>
      </c>
    </row>
    <row r="56" spans="1:14" x14ac:dyDescent="0.45">
      <c r="A56">
        <v>1055</v>
      </c>
      <c r="B56" s="1">
        <v>45964</v>
      </c>
      <c r="C56" t="s">
        <v>72</v>
      </c>
      <c r="D56" t="s">
        <v>15</v>
      </c>
      <c r="E56" t="s">
        <v>29</v>
      </c>
      <c r="F56" t="s">
        <v>25</v>
      </c>
      <c r="G56" t="s">
        <v>45</v>
      </c>
      <c r="H56">
        <v>1</v>
      </c>
      <c r="I56" s="6">
        <v>1590</v>
      </c>
      <c r="J56">
        <v>0</v>
      </c>
      <c r="K56" s="6">
        <v>1590</v>
      </c>
      <c r="L56" s="6">
        <v>830.19</v>
      </c>
      <c r="M56" s="6">
        <v>759.81</v>
      </c>
      <c r="N56" t="s">
        <v>34</v>
      </c>
    </row>
    <row r="57" spans="1:14" x14ac:dyDescent="0.45">
      <c r="A57">
        <v>1056</v>
      </c>
      <c r="B57" s="1">
        <v>45965</v>
      </c>
      <c r="C57" t="s">
        <v>57</v>
      </c>
      <c r="D57" t="s">
        <v>28</v>
      </c>
      <c r="E57" t="s">
        <v>24</v>
      </c>
      <c r="F57" t="s">
        <v>17</v>
      </c>
      <c r="G57" t="s">
        <v>44</v>
      </c>
      <c r="H57">
        <v>3</v>
      </c>
      <c r="I57" s="6">
        <v>480</v>
      </c>
      <c r="J57">
        <v>0</v>
      </c>
      <c r="K57" s="6">
        <v>1440</v>
      </c>
      <c r="L57" s="6">
        <v>848.27</v>
      </c>
      <c r="M57" s="6">
        <v>591.73</v>
      </c>
      <c r="N57" t="s">
        <v>32</v>
      </c>
    </row>
    <row r="58" spans="1:14" x14ac:dyDescent="0.45">
      <c r="A58">
        <v>1057</v>
      </c>
      <c r="B58" s="1">
        <v>45966</v>
      </c>
      <c r="C58" t="s">
        <v>63</v>
      </c>
      <c r="D58" t="s">
        <v>23</v>
      </c>
      <c r="E58" t="s">
        <v>42</v>
      </c>
      <c r="F58" t="s">
        <v>17</v>
      </c>
      <c r="G58" t="s">
        <v>18</v>
      </c>
      <c r="H58">
        <v>3</v>
      </c>
      <c r="I58" s="6">
        <v>1130</v>
      </c>
      <c r="J58">
        <v>0.1</v>
      </c>
      <c r="K58" s="6">
        <v>3051</v>
      </c>
      <c r="L58" s="6">
        <v>1602.1</v>
      </c>
      <c r="M58" s="6">
        <v>1448.9</v>
      </c>
      <c r="N58" t="s">
        <v>34</v>
      </c>
    </row>
    <row r="59" spans="1:14" x14ac:dyDescent="0.45">
      <c r="A59">
        <v>1058</v>
      </c>
      <c r="B59" s="1">
        <v>45967</v>
      </c>
      <c r="C59" t="s">
        <v>38</v>
      </c>
      <c r="D59" t="s">
        <v>23</v>
      </c>
      <c r="E59" t="s">
        <v>29</v>
      </c>
      <c r="F59" t="s">
        <v>17</v>
      </c>
      <c r="G59" t="s">
        <v>44</v>
      </c>
      <c r="H59">
        <v>2</v>
      </c>
      <c r="I59" s="6">
        <v>600</v>
      </c>
      <c r="J59">
        <v>0.15</v>
      </c>
      <c r="K59" s="6">
        <v>1020</v>
      </c>
      <c r="L59" s="6">
        <v>894.78</v>
      </c>
      <c r="M59" s="6">
        <v>125.22</v>
      </c>
      <c r="N59" t="s">
        <v>34</v>
      </c>
    </row>
    <row r="60" spans="1:14" x14ac:dyDescent="0.45">
      <c r="A60">
        <v>1059</v>
      </c>
      <c r="B60" s="1">
        <v>45968</v>
      </c>
      <c r="C60" t="s">
        <v>73</v>
      </c>
      <c r="D60" t="s">
        <v>15</v>
      </c>
      <c r="E60" t="s">
        <v>42</v>
      </c>
      <c r="F60" t="s">
        <v>25</v>
      </c>
      <c r="G60" t="s">
        <v>26</v>
      </c>
      <c r="H60">
        <v>2</v>
      </c>
      <c r="I60" s="6">
        <v>310</v>
      </c>
      <c r="J60">
        <v>0.1</v>
      </c>
      <c r="K60" s="6">
        <v>558</v>
      </c>
      <c r="L60" s="6">
        <v>343.09</v>
      </c>
      <c r="M60" s="6">
        <v>214.91</v>
      </c>
      <c r="N60" t="s">
        <v>32</v>
      </c>
    </row>
    <row r="61" spans="1:14" x14ac:dyDescent="0.45">
      <c r="A61">
        <v>1060</v>
      </c>
      <c r="B61" s="1">
        <v>45969</v>
      </c>
      <c r="C61" t="s">
        <v>74</v>
      </c>
      <c r="D61" t="s">
        <v>40</v>
      </c>
      <c r="E61" t="s">
        <v>29</v>
      </c>
      <c r="F61" t="s">
        <v>17</v>
      </c>
      <c r="G61" t="s">
        <v>44</v>
      </c>
      <c r="H61">
        <v>3</v>
      </c>
      <c r="I61" s="6">
        <v>650</v>
      </c>
      <c r="J61">
        <v>0.15</v>
      </c>
      <c r="K61" s="6">
        <v>1657.5</v>
      </c>
      <c r="L61" s="6">
        <v>921.07</v>
      </c>
      <c r="M61" s="6">
        <v>736.43</v>
      </c>
      <c r="N61" t="s">
        <v>19</v>
      </c>
    </row>
    <row r="62" spans="1:14" x14ac:dyDescent="0.45">
      <c r="A62">
        <v>1061</v>
      </c>
      <c r="B62" s="1">
        <v>45970</v>
      </c>
      <c r="C62" t="s">
        <v>43</v>
      </c>
      <c r="D62" t="s">
        <v>21</v>
      </c>
      <c r="E62" t="s">
        <v>16</v>
      </c>
      <c r="F62" t="s">
        <v>17</v>
      </c>
      <c r="G62" t="s">
        <v>18</v>
      </c>
      <c r="H62">
        <v>5</v>
      </c>
      <c r="I62" s="6">
        <v>1120</v>
      </c>
      <c r="J62">
        <v>0.05</v>
      </c>
      <c r="K62" s="6">
        <v>5320</v>
      </c>
      <c r="L62" s="6">
        <v>3526.88</v>
      </c>
      <c r="M62" s="6">
        <v>1793.12</v>
      </c>
      <c r="N62" t="s">
        <v>19</v>
      </c>
    </row>
    <row r="63" spans="1:14" x14ac:dyDescent="0.45">
      <c r="A63">
        <v>1062</v>
      </c>
      <c r="B63" s="1">
        <v>45971</v>
      </c>
      <c r="C63" t="s">
        <v>39</v>
      </c>
      <c r="D63" t="s">
        <v>21</v>
      </c>
      <c r="E63" t="s">
        <v>42</v>
      </c>
      <c r="F63" t="s">
        <v>30</v>
      </c>
      <c r="G63" t="s">
        <v>37</v>
      </c>
      <c r="H63">
        <v>1</v>
      </c>
      <c r="I63" s="6">
        <v>1620</v>
      </c>
      <c r="J63">
        <v>0.05</v>
      </c>
      <c r="K63" s="6">
        <v>1539</v>
      </c>
      <c r="L63" s="6">
        <v>922.17</v>
      </c>
      <c r="M63" s="6">
        <v>616.83000000000004</v>
      </c>
      <c r="N63" t="s">
        <v>19</v>
      </c>
    </row>
    <row r="64" spans="1:14" x14ac:dyDescent="0.45">
      <c r="A64">
        <v>1063</v>
      </c>
      <c r="B64" s="1">
        <v>45972</v>
      </c>
      <c r="C64" t="s">
        <v>75</v>
      </c>
      <c r="D64" t="s">
        <v>23</v>
      </c>
      <c r="E64" t="s">
        <v>16</v>
      </c>
      <c r="F64" t="s">
        <v>25</v>
      </c>
      <c r="G64" t="s">
        <v>45</v>
      </c>
      <c r="H64">
        <v>3</v>
      </c>
      <c r="I64" s="6">
        <v>1880</v>
      </c>
      <c r="J64">
        <v>0</v>
      </c>
      <c r="K64" s="6">
        <v>5640</v>
      </c>
      <c r="L64" s="6">
        <v>4173.25</v>
      </c>
      <c r="M64" s="6">
        <v>1466.75</v>
      </c>
      <c r="N64" t="s">
        <v>34</v>
      </c>
    </row>
    <row r="65" spans="1:14" x14ac:dyDescent="0.45">
      <c r="A65">
        <v>1064</v>
      </c>
      <c r="B65" s="1">
        <v>45973</v>
      </c>
      <c r="C65" t="s">
        <v>63</v>
      </c>
      <c r="D65" t="s">
        <v>40</v>
      </c>
      <c r="E65" t="s">
        <v>24</v>
      </c>
      <c r="F65" t="s">
        <v>17</v>
      </c>
      <c r="G65" t="s">
        <v>44</v>
      </c>
      <c r="H65">
        <v>4</v>
      </c>
      <c r="I65" s="6">
        <v>430</v>
      </c>
      <c r="J65">
        <v>0.05</v>
      </c>
      <c r="K65" s="6">
        <v>1634</v>
      </c>
      <c r="L65" s="6">
        <v>1292.67</v>
      </c>
      <c r="M65" s="6">
        <v>341.33</v>
      </c>
      <c r="N65" t="s">
        <v>34</v>
      </c>
    </row>
    <row r="66" spans="1:14" x14ac:dyDescent="0.45">
      <c r="A66">
        <v>1065</v>
      </c>
      <c r="B66" s="1">
        <v>45974</v>
      </c>
      <c r="C66" t="s">
        <v>58</v>
      </c>
      <c r="D66" t="s">
        <v>15</v>
      </c>
      <c r="E66" t="s">
        <v>24</v>
      </c>
      <c r="F66" t="s">
        <v>17</v>
      </c>
      <c r="G66" t="s">
        <v>44</v>
      </c>
      <c r="H66">
        <v>3</v>
      </c>
      <c r="I66" s="6">
        <v>1710</v>
      </c>
      <c r="J66">
        <v>0.1</v>
      </c>
      <c r="K66" s="6">
        <v>4617</v>
      </c>
      <c r="L66" s="6">
        <v>3497.32</v>
      </c>
      <c r="M66" s="6">
        <v>1119.68</v>
      </c>
      <c r="N66" t="s">
        <v>34</v>
      </c>
    </row>
    <row r="67" spans="1:14" x14ac:dyDescent="0.45">
      <c r="A67">
        <v>1066</v>
      </c>
      <c r="B67" s="1">
        <v>45975</v>
      </c>
      <c r="C67" t="s">
        <v>76</v>
      </c>
      <c r="D67" t="s">
        <v>40</v>
      </c>
      <c r="E67" t="s">
        <v>16</v>
      </c>
      <c r="F67" t="s">
        <v>17</v>
      </c>
      <c r="G67" t="s">
        <v>44</v>
      </c>
      <c r="H67">
        <v>1</v>
      </c>
      <c r="I67" s="6">
        <v>870</v>
      </c>
      <c r="J67">
        <v>0.15</v>
      </c>
      <c r="K67" s="6">
        <v>739.5</v>
      </c>
      <c r="L67" s="6">
        <v>492.62</v>
      </c>
      <c r="M67" s="6">
        <v>246.88</v>
      </c>
      <c r="N67" t="s">
        <v>32</v>
      </c>
    </row>
    <row r="68" spans="1:14" x14ac:dyDescent="0.45">
      <c r="A68">
        <v>1067</v>
      </c>
      <c r="B68" s="1">
        <v>45976</v>
      </c>
      <c r="C68" t="s">
        <v>77</v>
      </c>
      <c r="D68" t="s">
        <v>28</v>
      </c>
      <c r="E68" t="s">
        <v>16</v>
      </c>
      <c r="F68" t="s">
        <v>17</v>
      </c>
      <c r="G68" t="s">
        <v>44</v>
      </c>
      <c r="H68">
        <v>4</v>
      </c>
      <c r="I68" s="6">
        <v>1680</v>
      </c>
      <c r="J68">
        <v>0.15</v>
      </c>
      <c r="K68" s="6">
        <v>5712</v>
      </c>
      <c r="L68" s="6">
        <v>3611.86</v>
      </c>
      <c r="M68" s="6">
        <v>2100.14</v>
      </c>
      <c r="N68" t="s">
        <v>34</v>
      </c>
    </row>
    <row r="69" spans="1:14" x14ac:dyDescent="0.45">
      <c r="A69">
        <v>1068</v>
      </c>
      <c r="B69" s="1">
        <v>45977</v>
      </c>
      <c r="C69" t="s">
        <v>78</v>
      </c>
      <c r="D69" t="s">
        <v>21</v>
      </c>
      <c r="E69" t="s">
        <v>24</v>
      </c>
      <c r="F69" t="s">
        <v>17</v>
      </c>
      <c r="G69" t="s">
        <v>44</v>
      </c>
      <c r="H69">
        <v>5</v>
      </c>
      <c r="I69" s="6">
        <v>280</v>
      </c>
      <c r="J69">
        <v>0.15</v>
      </c>
      <c r="K69" s="6">
        <v>1190</v>
      </c>
      <c r="L69" s="6">
        <v>1043.1199999999999</v>
      </c>
      <c r="M69" s="6">
        <v>146.88</v>
      </c>
      <c r="N69" t="s">
        <v>34</v>
      </c>
    </row>
    <row r="70" spans="1:14" x14ac:dyDescent="0.45">
      <c r="A70">
        <v>1069</v>
      </c>
      <c r="B70" s="1">
        <v>45978</v>
      </c>
      <c r="C70" t="s">
        <v>35</v>
      </c>
      <c r="D70" t="s">
        <v>15</v>
      </c>
      <c r="E70" t="s">
        <v>42</v>
      </c>
      <c r="F70" t="s">
        <v>17</v>
      </c>
      <c r="G70" t="s">
        <v>44</v>
      </c>
      <c r="H70">
        <v>5</v>
      </c>
      <c r="I70" s="6">
        <v>1780</v>
      </c>
      <c r="J70">
        <v>0.15</v>
      </c>
      <c r="K70" s="6">
        <v>7565</v>
      </c>
      <c r="L70" s="6">
        <v>4447.46</v>
      </c>
      <c r="M70" s="6">
        <v>3117.54</v>
      </c>
      <c r="N70" t="s">
        <v>19</v>
      </c>
    </row>
    <row r="71" spans="1:14" x14ac:dyDescent="0.45">
      <c r="A71">
        <v>1070</v>
      </c>
      <c r="B71" s="1">
        <v>45979</v>
      </c>
      <c r="C71" t="s">
        <v>79</v>
      </c>
      <c r="D71" t="s">
        <v>28</v>
      </c>
      <c r="E71" t="s">
        <v>24</v>
      </c>
      <c r="F71" t="s">
        <v>17</v>
      </c>
      <c r="G71" t="s">
        <v>18</v>
      </c>
      <c r="H71">
        <v>1</v>
      </c>
      <c r="I71" s="6">
        <v>1260</v>
      </c>
      <c r="J71">
        <v>0.1</v>
      </c>
      <c r="K71" s="6">
        <v>1134</v>
      </c>
      <c r="L71" s="6">
        <v>829.5</v>
      </c>
      <c r="M71" s="6">
        <v>304.5</v>
      </c>
      <c r="N71" t="s">
        <v>34</v>
      </c>
    </row>
    <row r="72" spans="1:14" x14ac:dyDescent="0.45">
      <c r="A72">
        <v>1071</v>
      </c>
      <c r="B72" s="1">
        <v>45980</v>
      </c>
      <c r="C72" t="s">
        <v>49</v>
      </c>
      <c r="D72" t="s">
        <v>23</v>
      </c>
      <c r="E72" t="s">
        <v>16</v>
      </c>
      <c r="F72" t="s">
        <v>25</v>
      </c>
      <c r="G72" t="s">
        <v>26</v>
      </c>
      <c r="H72">
        <v>1</v>
      </c>
      <c r="I72" s="6">
        <v>1300</v>
      </c>
      <c r="J72">
        <v>0.15</v>
      </c>
      <c r="K72" s="6">
        <v>1105</v>
      </c>
      <c r="L72" s="6">
        <v>596.89</v>
      </c>
      <c r="M72" s="6">
        <v>508.11</v>
      </c>
      <c r="N72" t="s">
        <v>19</v>
      </c>
    </row>
    <row r="73" spans="1:14" x14ac:dyDescent="0.45">
      <c r="A73">
        <v>1072</v>
      </c>
      <c r="B73" s="1">
        <v>45981</v>
      </c>
      <c r="C73" t="s">
        <v>80</v>
      </c>
      <c r="D73" t="s">
        <v>40</v>
      </c>
      <c r="E73" t="s">
        <v>24</v>
      </c>
      <c r="F73" t="s">
        <v>17</v>
      </c>
      <c r="G73" t="s">
        <v>18</v>
      </c>
      <c r="H73">
        <v>4</v>
      </c>
      <c r="I73" s="6">
        <v>1420</v>
      </c>
      <c r="J73">
        <v>0</v>
      </c>
      <c r="K73" s="6">
        <v>5680</v>
      </c>
      <c r="L73" s="6">
        <v>3387.9</v>
      </c>
      <c r="M73" s="6">
        <v>2292.1</v>
      </c>
      <c r="N73" t="s">
        <v>19</v>
      </c>
    </row>
    <row r="74" spans="1:14" x14ac:dyDescent="0.45">
      <c r="A74">
        <v>1073</v>
      </c>
      <c r="B74" s="1">
        <v>45982</v>
      </c>
      <c r="C74" t="s">
        <v>66</v>
      </c>
      <c r="D74" t="s">
        <v>21</v>
      </c>
      <c r="E74" t="s">
        <v>42</v>
      </c>
      <c r="F74" t="s">
        <v>17</v>
      </c>
      <c r="G74" t="s">
        <v>44</v>
      </c>
      <c r="H74">
        <v>5</v>
      </c>
      <c r="I74" s="6">
        <v>650</v>
      </c>
      <c r="J74">
        <v>0.15</v>
      </c>
      <c r="K74" s="6">
        <v>2762.5</v>
      </c>
      <c r="L74" s="6">
        <v>1983.23</v>
      </c>
      <c r="M74" s="6">
        <v>779.27</v>
      </c>
      <c r="N74" t="s">
        <v>32</v>
      </c>
    </row>
    <row r="75" spans="1:14" x14ac:dyDescent="0.45">
      <c r="A75">
        <v>1074</v>
      </c>
      <c r="B75" s="1">
        <v>45983</v>
      </c>
      <c r="C75" t="s">
        <v>36</v>
      </c>
      <c r="D75" t="s">
        <v>15</v>
      </c>
      <c r="E75" t="s">
        <v>29</v>
      </c>
      <c r="F75" t="s">
        <v>30</v>
      </c>
      <c r="G75" t="s">
        <v>31</v>
      </c>
      <c r="H75">
        <v>3</v>
      </c>
      <c r="I75" s="6">
        <v>480</v>
      </c>
      <c r="J75">
        <v>0</v>
      </c>
      <c r="K75" s="6">
        <v>1440</v>
      </c>
      <c r="L75" s="6">
        <v>838.59</v>
      </c>
      <c r="M75" s="6">
        <v>601.41</v>
      </c>
      <c r="N75" t="s">
        <v>19</v>
      </c>
    </row>
    <row r="76" spans="1:14" x14ac:dyDescent="0.45">
      <c r="A76">
        <v>1075</v>
      </c>
      <c r="B76" s="1">
        <v>45984</v>
      </c>
      <c r="C76" t="s">
        <v>81</v>
      </c>
      <c r="D76" t="s">
        <v>28</v>
      </c>
      <c r="E76" t="s">
        <v>24</v>
      </c>
      <c r="F76" t="s">
        <v>30</v>
      </c>
      <c r="G76" t="s">
        <v>31</v>
      </c>
      <c r="H76">
        <v>3</v>
      </c>
      <c r="I76" s="6">
        <v>410</v>
      </c>
      <c r="J76">
        <v>0.15</v>
      </c>
      <c r="K76" s="6">
        <v>1045.5</v>
      </c>
      <c r="L76" s="6">
        <v>890.71</v>
      </c>
      <c r="M76" s="6">
        <v>154.79</v>
      </c>
      <c r="N76" t="s">
        <v>34</v>
      </c>
    </row>
    <row r="77" spans="1:14" x14ac:dyDescent="0.45">
      <c r="A77">
        <v>1076</v>
      </c>
      <c r="B77" s="1">
        <v>45985</v>
      </c>
      <c r="C77" t="s">
        <v>43</v>
      </c>
      <c r="D77" t="s">
        <v>40</v>
      </c>
      <c r="E77" t="s">
        <v>29</v>
      </c>
      <c r="F77" t="s">
        <v>17</v>
      </c>
      <c r="G77" t="s">
        <v>44</v>
      </c>
      <c r="H77">
        <v>1</v>
      </c>
      <c r="I77" s="6">
        <v>1150</v>
      </c>
      <c r="J77">
        <v>0.15</v>
      </c>
      <c r="K77" s="6">
        <v>977.5</v>
      </c>
      <c r="L77" s="6">
        <v>810.98</v>
      </c>
      <c r="M77" s="6">
        <v>166.52</v>
      </c>
      <c r="N77" t="s">
        <v>34</v>
      </c>
    </row>
    <row r="78" spans="1:14" x14ac:dyDescent="0.45">
      <c r="A78">
        <v>1077</v>
      </c>
      <c r="B78" s="1">
        <v>45986</v>
      </c>
      <c r="C78" t="s">
        <v>54</v>
      </c>
      <c r="D78" t="s">
        <v>28</v>
      </c>
      <c r="E78" t="s">
        <v>29</v>
      </c>
      <c r="F78" t="s">
        <v>30</v>
      </c>
      <c r="G78" t="s">
        <v>37</v>
      </c>
      <c r="H78">
        <v>1</v>
      </c>
      <c r="I78" s="6">
        <v>1890</v>
      </c>
      <c r="J78">
        <v>0.05</v>
      </c>
      <c r="K78" s="6">
        <v>1795.5</v>
      </c>
      <c r="L78" s="6">
        <v>995.78</v>
      </c>
      <c r="M78" s="6">
        <v>799.72</v>
      </c>
      <c r="N78" t="s">
        <v>34</v>
      </c>
    </row>
    <row r="79" spans="1:14" x14ac:dyDescent="0.45">
      <c r="A79">
        <v>1078</v>
      </c>
      <c r="B79" s="1">
        <v>45987</v>
      </c>
      <c r="C79" t="s">
        <v>82</v>
      </c>
      <c r="D79" t="s">
        <v>15</v>
      </c>
      <c r="E79" t="s">
        <v>42</v>
      </c>
      <c r="F79" t="s">
        <v>30</v>
      </c>
      <c r="G79" t="s">
        <v>37</v>
      </c>
      <c r="H79">
        <v>3</v>
      </c>
      <c r="I79" s="6">
        <v>980</v>
      </c>
      <c r="J79">
        <v>0.05</v>
      </c>
      <c r="K79" s="6">
        <v>2793</v>
      </c>
      <c r="L79" s="6">
        <v>1473.22</v>
      </c>
      <c r="M79" s="6">
        <v>1319.78</v>
      </c>
      <c r="N79" t="s">
        <v>19</v>
      </c>
    </row>
    <row r="80" spans="1:14" x14ac:dyDescent="0.45">
      <c r="A80">
        <v>1079</v>
      </c>
      <c r="B80" s="1">
        <v>45988</v>
      </c>
      <c r="C80" t="s">
        <v>83</v>
      </c>
      <c r="D80" t="s">
        <v>15</v>
      </c>
      <c r="E80" t="s">
        <v>16</v>
      </c>
      <c r="F80" t="s">
        <v>30</v>
      </c>
      <c r="G80" t="s">
        <v>37</v>
      </c>
      <c r="H80">
        <v>1</v>
      </c>
      <c r="I80" s="6">
        <v>920</v>
      </c>
      <c r="J80">
        <v>0.05</v>
      </c>
      <c r="K80" s="6">
        <v>874</v>
      </c>
      <c r="L80" s="6">
        <v>461.13</v>
      </c>
      <c r="M80" s="6">
        <v>412.87</v>
      </c>
      <c r="N80" t="s">
        <v>19</v>
      </c>
    </row>
    <row r="81" spans="1:14" x14ac:dyDescent="0.45">
      <c r="A81">
        <v>1080</v>
      </c>
      <c r="B81" s="1">
        <v>45989</v>
      </c>
      <c r="C81" t="s">
        <v>84</v>
      </c>
      <c r="D81" t="s">
        <v>21</v>
      </c>
      <c r="E81" t="s">
        <v>29</v>
      </c>
      <c r="F81" t="s">
        <v>25</v>
      </c>
      <c r="G81" t="s">
        <v>45</v>
      </c>
      <c r="H81">
        <v>2</v>
      </c>
      <c r="I81" s="6">
        <v>1970</v>
      </c>
      <c r="J81">
        <v>0.15</v>
      </c>
      <c r="K81" s="6">
        <v>3349</v>
      </c>
      <c r="L81" s="6">
        <v>2117.79</v>
      </c>
      <c r="M81" s="6">
        <v>1231.21</v>
      </c>
      <c r="N81" t="s">
        <v>32</v>
      </c>
    </row>
    <row r="82" spans="1:14" x14ac:dyDescent="0.45">
      <c r="A82">
        <v>1081</v>
      </c>
      <c r="B82" s="1">
        <v>45990</v>
      </c>
      <c r="C82" t="s">
        <v>36</v>
      </c>
      <c r="D82" t="s">
        <v>23</v>
      </c>
      <c r="E82" t="s">
        <v>29</v>
      </c>
      <c r="F82" t="s">
        <v>17</v>
      </c>
      <c r="G82" t="s">
        <v>44</v>
      </c>
      <c r="H82">
        <v>1</v>
      </c>
      <c r="I82" s="6">
        <v>1860</v>
      </c>
      <c r="J82">
        <v>0.05</v>
      </c>
      <c r="K82" s="6">
        <v>1767</v>
      </c>
      <c r="L82" s="6">
        <v>1358.64</v>
      </c>
      <c r="M82" s="6">
        <v>408.36</v>
      </c>
      <c r="N82" t="s">
        <v>32</v>
      </c>
    </row>
    <row r="83" spans="1:14" x14ac:dyDescent="0.45">
      <c r="A83">
        <v>1082</v>
      </c>
      <c r="B83" s="1">
        <v>45991</v>
      </c>
      <c r="C83" t="s">
        <v>79</v>
      </c>
      <c r="D83" t="s">
        <v>28</v>
      </c>
      <c r="E83" t="s">
        <v>16</v>
      </c>
      <c r="F83" t="s">
        <v>17</v>
      </c>
      <c r="G83" t="s">
        <v>44</v>
      </c>
      <c r="H83">
        <v>3</v>
      </c>
      <c r="I83" s="6">
        <v>1220</v>
      </c>
      <c r="J83">
        <v>0</v>
      </c>
      <c r="K83" s="6">
        <v>3660</v>
      </c>
      <c r="L83" s="6">
        <v>2145.3000000000002</v>
      </c>
      <c r="M83" s="6">
        <v>1514.7</v>
      </c>
      <c r="N83" t="s">
        <v>19</v>
      </c>
    </row>
    <row r="84" spans="1:14" x14ac:dyDescent="0.45">
      <c r="A84">
        <v>1083</v>
      </c>
      <c r="B84" s="1">
        <v>45992</v>
      </c>
      <c r="C84" t="s">
        <v>82</v>
      </c>
      <c r="D84" t="s">
        <v>21</v>
      </c>
      <c r="E84" t="s">
        <v>16</v>
      </c>
      <c r="F84" t="s">
        <v>30</v>
      </c>
      <c r="G84" t="s">
        <v>37</v>
      </c>
      <c r="H84">
        <v>3</v>
      </c>
      <c r="I84" s="6">
        <v>1150</v>
      </c>
      <c r="J84">
        <v>0.1</v>
      </c>
      <c r="K84" s="6">
        <v>3105</v>
      </c>
      <c r="L84" s="6">
        <v>2365.2199999999998</v>
      </c>
      <c r="M84" s="6">
        <v>739.78</v>
      </c>
      <c r="N84" t="s">
        <v>19</v>
      </c>
    </row>
    <row r="85" spans="1:14" x14ac:dyDescent="0.45">
      <c r="A85">
        <v>1084</v>
      </c>
      <c r="B85" s="1">
        <v>45993</v>
      </c>
      <c r="C85" t="s">
        <v>85</v>
      </c>
      <c r="D85" t="s">
        <v>21</v>
      </c>
      <c r="E85" t="s">
        <v>16</v>
      </c>
      <c r="F85" t="s">
        <v>25</v>
      </c>
      <c r="G85" t="s">
        <v>45</v>
      </c>
      <c r="H85">
        <v>1</v>
      </c>
      <c r="I85" s="6">
        <v>1050</v>
      </c>
      <c r="J85">
        <v>0</v>
      </c>
      <c r="K85" s="6">
        <v>1050</v>
      </c>
      <c r="L85" s="6">
        <v>685.78</v>
      </c>
      <c r="M85" s="6">
        <v>364.22</v>
      </c>
      <c r="N85" t="s">
        <v>32</v>
      </c>
    </row>
    <row r="86" spans="1:14" x14ac:dyDescent="0.45">
      <c r="A86">
        <v>1085</v>
      </c>
      <c r="B86" s="1">
        <v>45994</v>
      </c>
      <c r="C86" t="s">
        <v>86</v>
      </c>
      <c r="D86" t="s">
        <v>28</v>
      </c>
      <c r="E86" t="s">
        <v>29</v>
      </c>
      <c r="F86" t="s">
        <v>30</v>
      </c>
      <c r="G86" t="s">
        <v>31</v>
      </c>
      <c r="H86">
        <v>3</v>
      </c>
      <c r="I86" s="6">
        <v>1080</v>
      </c>
      <c r="J86">
        <v>0.15</v>
      </c>
      <c r="K86" s="6">
        <v>2754</v>
      </c>
      <c r="L86" s="6">
        <v>1567</v>
      </c>
      <c r="M86" s="6">
        <v>1187</v>
      </c>
      <c r="N86" t="s">
        <v>34</v>
      </c>
    </row>
    <row r="87" spans="1:14" x14ac:dyDescent="0.45">
      <c r="A87">
        <v>1086</v>
      </c>
      <c r="B87" s="1">
        <v>45995</v>
      </c>
      <c r="C87" t="s">
        <v>87</v>
      </c>
      <c r="D87" t="s">
        <v>40</v>
      </c>
      <c r="E87" t="s">
        <v>24</v>
      </c>
      <c r="F87" t="s">
        <v>25</v>
      </c>
      <c r="G87" t="s">
        <v>45</v>
      </c>
      <c r="H87">
        <v>5</v>
      </c>
      <c r="I87" s="6">
        <v>650</v>
      </c>
      <c r="J87">
        <v>0</v>
      </c>
      <c r="K87" s="6">
        <v>3250</v>
      </c>
      <c r="L87" s="6">
        <v>2518.38</v>
      </c>
      <c r="M87" s="6">
        <v>731.62</v>
      </c>
      <c r="N87" t="s">
        <v>34</v>
      </c>
    </row>
    <row r="88" spans="1:14" x14ac:dyDescent="0.45">
      <c r="A88">
        <v>1087</v>
      </c>
      <c r="B88" s="1">
        <v>45996</v>
      </c>
      <c r="C88" t="s">
        <v>62</v>
      </c>
      <c r="D88" t="s">
        <v>21</v>
      </c>
      <c r="E88" t="s">
        <v>29</v>
      </c>
      <c r="F88" t="s">
        <v>17</v>
      </c>
      <c r="G88" t="s">
        <v>18</v>
      </c>
      <c r="H88">
        <v>1</v>
      </c>
      <c r="I88" s="6">
        <v>240</v>
      </c>
      <c r="J88">
        <v>0.1</v>
      </c>
      <c r="K88" s="6">
        <v>216</v>
      </c>
      <c r="L88" s="6">
        <v>140.74</v>
      </c>
      <c r="M88" s="6">
        <v>75.260000000000005</v>
      </c>
      <c r="N88" t="s">
        <v>32</v>
      </c>
    </row>
    <row r="89" spans="1:14" x14ac:dyDescent="0.45">
      <c r="A89">
        <v>1088</v>
      </c>
      <c r="B89" s="1">
        <v>45997</v>
      </c>
      <c r="C89" t="s">
        <v>70</v>
      </c>
      <c r="D89" t="s">
        <v>28</v>
      </c>
      <c r="E89" t="s">
        <v>24</v>
      </c>
      <c r="F89" t="s">
        <v>25</v>
      </c>
      <c r="G89" t="s">
        <v>45</v>
      </c>
      <c r="H89">
        <v>1</v>
      </c>
      <c r="I89" s="6">
        <v>360</v>
      </c>
      <c r="J89">
        <v>0.15</v>
      </c>
      <c r="K89" s="6">
        <v>306</v>
      </c>
      <c r="L89" s="6">
        <v>210.5</v>
      </c>
      <c r="M89" s="6">
        <v>95.5</v>
      </c>
      <c r="N89" t="s">
        <v>32</v>
      </c>
    </row>
    <row r="90" spans="1:14" x14ac:dyDescent="0.45">
      <c r="A90">
        <v>1089</v>
      </c>
      <c r="B90" s="1">
        <v>45998</v>
      </c>
      <c r="C90" t="s">
        <v>61</v>
      </c>
      <c r="D90" t="s">
        <v>21</v>
      </c>
      <c r="E90" t="s">
        <v>24</v>
      </c>
      <c r="F90" t="s">
        <v>25</v>
      </c>
      <c r="G90" t="s">
        <v>45</v>
      </c>
      <c r="H90">
        <v>2</v>
      </c>
      <c r="I90" s="6">
        <v>1250</v>
      </c>
      <c r="J90">
        <v>0</v>
      </c>
      <c r="K90" s="6">
        <v>2500</v>
      </c>
      <c r="L90" s="6">
        <v>1306.45</v>
      </c>
      <c r="M90" s="6">
        <v>1193.55</v>
      </c>
      <c r="N90" t="s">
        <v>32</v>
      </c>
    </row>
    <row r="91" spans="1:14" x14ac:dyDescent="0.45">
      <c r="A91">
        <v>1090</v>
      </c>
      <c r="B91" s="1">
        <v>45999</v>
      </c>
      <c r="C91" t="s">
        <v>85</v>
      </c>
      <c r="D91" t="s">
        <v>21</v>
      </c>
      <c r="E91" t="s">
        <v>24</v>
      </c>
      <c r="F91" t="s">
        <v>25</v>
      </c>
      <c r="G91" t="s">
        <v>26</v>
      </c>
      <c r="H91">
        <v>4</v>
      </c>
      <c r="I91" s="6">
        <v>640</v>
      </c>
      <c r="J91">
        <v>0.05</v>
      </c>
      <c r="K91" s="6">
        <v>2432</v>
      </c>
      <c r="L91" s="6">
        <v>2187.16</v>
      </c>
      <c r="M91" s="6">
        <v>244.84</v>
      </c>
      <c r="N91" t="s">
        <v>34</v>
      </c>
    </row>
    <row r="92" spans="1:14" x14ac:dyDescent="0.45">
      <c r="A92">
        <v>1091</v>
      </c>
      <c r="B92" s="1">
        <v>46000</v>
      </c>
      <c r="C92" t="s">
        <v>81</v>
      </c>
      <c r="D92" t="s">
        <v>28</v>
      </c>
      <c r="E92" t="s">
        <v>16</v>
      </c>
      <c r="F92" t="s">
        <v>25</v>
      </c>
      <c r="G92" t="s">
        <v>26</v>
      </c>
      <c r="H92">
        <v>3</v>
      </c>
      <c r="I92" s="6">
        <v>1530</v>
      </c>
      <c r="J92">
        <v>0.05</v>
      </c>
      <c r="K92" s="6">
        <v>4360.5</v>
      </c>
      <c r="L92" s="6">
        <v>3257.28</v>
      </c>
      <c r="M92" s="6">
        <v>1103.22</v>
      </c>
      <c r="N92" t="s">
        <v>32</v>
      </c>
    </row>
    <row r="93" spans="1:14" x14ac:dyDescent="0.45">
      <c r="A93">
        <v>1092</v>
      </c>
      <c r="B93" s="1">
        <v>46001</v>
      </c>
      <c r="C93" t="s">
        <v>82</v>
      </c>
      <c r="D93" t="s">
        <v>23</v>
      </c>
      <c r="E93" t="s">
        <v>42</v>
      </c>
      <c r="F93" t="s">
        <v>17</v>
      </c>
      <c r="G93" t="s">
        <v>44</v>
      </c>
      <c r="H93">
        <v>5</v>
      </c>
      <c r="I93" s="6">
        <v>1420</v>
      </c>
      <c r="J93">
        <v>0.15</v>
      </c>
      <c r="K93" s="6">
        <v>6035</v>
      </c>
      <c r="L93" s="6">
        <v>4698.5600000000004</v>
      </c>
      <c r="M93" s="6">
        <v>1336.44</v>
      </c>
      <c r="N93" t="s">
        <v>34</v>
      </c>
    </row>
    <row r="94" spans="1:14" x14ac:dyDescent="0.45">
      <c r="A94">
        <v>1093</v>
      </c>
      <c r="B94" s="1">
        <v>46002</v>
      </c>
      <c r="C94" t="s">
        <v>73</v>
      </c>
      <c r="D94" t="s">
        <v>23</v>
      </c>
      <c r="E94" t="s">
        <v>16</v>
      </c>
      <c r="F94" t="s">
        <v>25</v>
      </c>
      <c r="G94" t="s">
        <v>45</v>
      </c>
      <c r="H94">
        <v>5</v>
      </c>
      <c r="I94" s="6">
        <v>1140</v>
      </c>
      <c r="J94">
        <v>0.05</v>
      </c>
      <c r="K94" s="6">
        <v>5415</v>
      </c>
      <c r="L94" s="6">
        <v>3812.74</v>
      </c>
      <c r="M94" s="6">
        <v>1602.26</v>
      </c>
      <c r="N94" t="s">
        <v>19</v>
      </c>
    </row>
    <row r="95" spans="1:14" x14ac:dyDescent="0.45">
      <c r="A95">
        <v>1094</v>
      </c>
      <c r="B95" s="1">
        <v>46003</v>
      </c>
      <c r="C95" t="s">
        <v>88</v>
      </c>
      <c r="D95" t="s">
        <v>40</v>
      </c>
      <c r="E95" t="s">
        <v>16</v>
      </c>
      <c r="F95" t="s">
        <v>30</v>
      </c>
      <c r="G95" t="s">
        <v>31</v>
      </c>
      <c r="H95">
        <v>1</v>
      </c>
      <c r="I95" s="6">
        <v>630</v>
      </c>
      <c r="J95">
        <v>0.15</v>
      </c>
      <c r="K95" s="6">
        <v>535.5</v>
      </c>
      <c r="L95" s="6">
        <v>351.24</v>
      </c>
      <c r="M95" s="6">
        <v>184.26</v>
      </c>
      <c r="N95" t="s">
        <v>19</v>
      </c>
    </row>
    <row r="96" spans="1:14" x14ac:dyDescent="0.45">
      <c r="A96">
        <v>1095</v>
      </c>
      <c r="B96" s="1">
        <v>46004</v>
      </c>
      <c r="C96" t="s">
        <v>59</v>
      </c>
      <c r="D96" t="s">
        <v>28</v>
      </c>
      <c r="E96" t="s">
        <v>24</v>
      </c>
      <c r="F96" t="s">
        <v>30</v>
      </c>
      <c r="G96" t="s">
        <v>31</v>
      </c>
      <c r="H96">
        <v>3</v>
      </c>
      <c r="I96" s="6">
        <v>1320</v>
      </c>
      <c r="J96">
        <v>0.15</v>
      </c>
      <c r="K96" s="6">
        <v>3366</v>
      </c>
      <c r="L96" s="6">
        <v>2354.5700000000002</v>
      </c>
      <c r="M96" s="6">
        <v>1011.43</v>
      </c>
      <c r="N96" t="s">
        <v>32</v>
      </c>
    </row>
    <row r="97" spans="1:14" x14ac:dyDescent="0.45">
      <c r="A97">
        <v>1096</v>
      </c>
      <c r="B97" s="1">
        <v>46005</v>
      </c>
      <c r="C97" t="s">
        <v>89</v>
      </c>
      <c r="D97" t="s">
        <v>21</v>
      </c>
      <c r="E97" t="s">
        <v>24</v>
      </c>
      <c r="F97" t="s">
        <v>30</v>
      </c>
      <c r="G97" t="s">
        <v>37</v>
      </c>
      <c r="H97">
        <v>2</v>
      </c>
      <c r="I97" s="6">
        <v>210</v>
      </c>
      <c r="J97">
        <v>0.15</v>
      </c>
      <c r="K97" s="6">
        <v>357</v>
      </c>
      <c r="L97" s="6">
        <v>298.58999999999997</v>
      </c>
      <c r="M97" s="6">
        <v>58.41</v>
      </c>
      <c r="N97" t="s">
        <v>19</v>
      </c>
    </row>
    <row r="98" spans="1:14" x14ac:dyDescent="0.45">
      <c r="A98">
        <v>1097</v>
      </c>
      <c r="B98" s="1">
        <v>46006</v>
      </c>
      <c r="C98" t="s">
        <v>47</v>
      </c>
      <c r="D98" t="s">
        <v>15</v>
      </c>
      <c r="E98" t="s">
        <v>29</v>
      </c>
      <c r="F98" t="s">
        <v>17</v>
      </c>
      <c r="G98" t="s">
        <v>44</v>
      </c>
      <c r="H98">
        <v>5</v>
      </c>
      <c r="I98" s="6">
        <v>1400</v>
      </c>
      <c r="J98">
        <v>0.05</v>
      </c>
      <c r="K98" s="6">
        <v>6650</v>
      </c>
      <c r="L98" s="6">
        <v>3355.25</v>
      </c>
      <c r="M98" s="6">
        <v>3294.75</v>
      </c>
      <c r="N98" t="s">
        <v>19</v>
      </c>
    </row>
    <row r="99" spans="1:14" x14ac:dyDescent="0.45">
      <c r="A99">
        <v>1098</v>
      </c>
      <c r="B99" s="1">
        <v>46007</v>
      </c>
      <c r="C99" t="s">
        <v>90</v>
      </c>
      <c r="D99" t="s">
        <v>28</v>
      </c>
      <c r="E99" t="s">
        <v>16</v>
      </c>
      <c r="F99" t="s">
        <v>30</v>
      </c>
      <c r="G99" t="s">
        <v>31</v>
      </c>
      <c r="H99">
        <v>3</v>
      </c>
      <c r="I99" s="6">
        <v>560</v>
      </c>
      <c r="J99">
        <v>0.15</v>
      </c>
      <c r="K99" s="6">
        <v>1428</v>
      </c>
      <c r="L99" s="6">
        <v>1251.3900000000001</v>
      </c>
      <c r="M99" s="6">
        <v>176.61</v>
      </c>
      <c r="N99" t="s">
        <v>19</v>
      </c>
    </row>
    <row r="100" spans="1:14" x14ac:dyDescent="0.45">
      <c r="A100">
        <v>1099</v>
      </c>
      <c r="B100" s="1">
        <v>46008</v>
      </c>
      <c r="C100" t="s">
        <v>81</v>
      </c>
      <c r="D100" t="s">
        <v>21</v>
      </c>
      <c r="E100" t="s">
        <v>29</v>
      </c>
      <c r="F100" t="s">
        <v>17</v>
      </c>
      <c r="G100" t="s">
        <v>18</v>
      </c>
      <c r="H100">
        <v>4</v>
      </c>
      <c r="I100" s="6">
        <v>1440</v>
      </c>
      <c r="J100">
        <v>0</v>
      </c>
      <c r="K100" s="6">
        <v>5760</v>
      </c>
      <c r="L100" s="6">
        <v>4419.3500000000004</v>
      </c>
      <c r="M100" s="6">
        <v>1340.65</v>
      </c>
      <c r="N100" t="s">
        <v>32</v>
      </c>
    </row>
    <row r="101" spans="1:14" x14ac:dyDescent="0.45">
      <c r="A101">
        <v>1100</v>
      </c>
      <c r="B101" s="1">
        <v>46009</v>
      </c>
      <c r="C101" t="s">
        <v>91</v>
      </c>
      <c r="D101" t="s">
        <v>15</v>
      </c>
      <c r="E101" t="s">
        <v>24</v>
      </c>
      <c r="F101" t="s">
        <v>17</v>
      </c>
      <c r="G101" t="s">
        <v>44</v>
      </c>
      <c r="H101">
        <v>1</v>
      </c>
      <c r="I101" s="6">
        <v>1410</v>
      </c>
      <c r="J101">
        <v>0.05</v>
      </c>
      <c r="K101" s="6">
        <v>1339.5</v>
      </c>
      <c r="L101" s="6">
        <v>858.24</v>
      </c>
      <c r="M101" s="6">
        <v>481.26</v>
      </c>
      <c r="N101" t="s">
        <v>34</v>
      </c>
    </row>
    <row r="102" spans="1:14" x14ac:dyDescent="0.45">
      <c r="A102">
        <v>1101</v>
      </c>
      <c r="B102" s="1">
        <v>46010</v>
      </c>
      <c r="C102" t="s">
        <v>77</v>
      </c>
      <c r="D102" t="s">
        <v>15</v>
      </c>
      <c r="E102" t="s">
        <v>29</v>
      </c>
      <c r="F102" t="s">
        <v>17</v>
      </c>
      <c r="G102" t="s">
        <v>44</v>
      </c>
      <c r="H102">
        <v>4</v>
      </c>
      <c r="I102" s="6">
        <v>700</v>
      </c>
      <c r="J102">
        <v>0</v>
      </c>
      <c r="K102" s="6">
        <v>2800</v>
      </c>
      <c r="L102" s="6">
        <v>2011.42</v>
      </c>
      <c r="M102" s="6">
        <v>788.58</v>
      </c>
      <c r="N102" t="s">
        <v>32</v>
      </c>
    </row>
    <row r="103" spans="1:14" x14ac:dyDescent="0.45">
      <c r="A103">
        <v>1102</v>
      </c>
      <c r="B103" s="1">
        <v>46011</v>
      </c>
      <c r="C103" t="s">
        <v>65</v>
      </c>
      <c r="D103" t="s">
        <v>23</v>
      </c>
      <c r="E103" t="s">
        <v>24</v>
      </c>
      <c r="F103" t="s">
        <v>17</v>
      </c>
      <c r="G103" t="s">
        <v>44</v>
      </c>
      <c r="H103">
        <v>4</v>
      </c>
      <c r="I103" s="6">
        <v>1370</v>
      </c>
      <c r="J103">
        <v>0</v>
      </c>
      <c r="K103" s="6">
        <v>5480</v>
      </c>
      <c r="L103" s="6">
        <v>4377.3500000000004</v>
      </c>
      <c r="M103" s="6">
        <v>1102.6500000000001</v>
      </c>
      <c r="N103" t="s">
        <v>19</v>
      </c>
    </row>
    <row r="104" spans="1:14" x14ac:dyDescent="0.45">
      <c r="A104">
        <v>1103</v>
      </c>
      <c r="B104" s="1">
        <v>46012</v>
      </c>
      <c r="C104" t="s">
        <v>70</v>
      </c>
      <c r="D104" t="s">
        <v>23</v>
      </c>
      <c r="E104" t="s">
        <v>29</v>
      </c>
      <c r="F104" t="s">
        <v>30</v>
      </c>
      <c r="G104" t="s">
        <v>31</v>
      </c>
      <c r="H104">
        <v>1</v>
      </c>
      <c r="I104" s="6">
        <v>800</v>
      </c>
      <c r="J104">
        <v>0.05</v>
      </c>
      <c r="K104" s="6">
        <v>760</v>
      </c>
      <c r="L104" s="6">
        <v>548.63</v>
      </c>
      <c r="M104" s="6">
        <v>211.37</v>
      </c>
      <c r="N104" t="s">
        <v>19</v>
      </c>
    </row>
    <row r="105" spans="1:14" x14ac:dyDescent="0.45">
      <c r="A105">
        <v>1104</v>
      </c>
      <c r="B105" s="1">
        <v>46013</v>
      </c>
      <c r="C105" t="s">
        <v>58</v>
      </c>
      <c r="D105" t="s">
        <v>28</v>
      </c>
      <c r="E105" t="s">
        <v>24</v>
      </c>
      <c r="F105" t="s">
        <v>30</v>
      </c>
      <c r="G105" t="s">
        <v>31</v>
      </c>
      <c r="H105">
        <v>4</v>
      </c>
      <c r="I105" s="6">
        <v>310</v>
      </c>
      <c r="J105">
        <v>0.1</v>
      </c>
      <c r="K105" s="6">
        <v>1116</v>
      </c>
      <c r="L105" s="6">
        <v>814.64</v>
      </c>
      <c r="M105" s="6">
        <v>301.36</v>
      </c>
      <c r="N105" t="s">
        <v>34</v>
      </c>
    </row>
    <row r="106" spans="1:14" x14ac:dyDescent="0.45">
      <c r="A106">
        <v>1105</v>
      </c>
      <c r="B106" s="1">
        <v>46014</v>
      </c>
      <c r="C106" t="s">
        <v>81</v>
      </c>
      <c r="D106" t="s">
        <v>21</v>
      </c>
      <c r="E106" t="s">
        <v>29</v>
      </c>
      <c r="F106" t="s">
        <v>30</v>
      </c>
      <c r="G106" t="s">
        <v>37</v>
      </c>
      <c r="H106">
        <v>3</v>
      </c>
      <c r="I106" s="6">
        <v>480</v>
      </c>
      <c r="J106">
        <v>0.1</v>
      </c>
      <c r="K106" s="6">
        <v>1296</v>
      </c>
      <c r="L106" s="6">
        <v>660.48</v>
      </c>
      <c r="M106" s="6">
        <v>635.52</v>
      </c>
      <c r="N106" t="s">
        <v>32</v>
      </c>
    </row>
    <row r="107" spans="1:14" x14ac:dyDescent="0.45">
      <c r="A107">
        <v>1106</v>
      </c>
      <c r="B107" s="1">
        <v>46015</v>
      </c>
      <c r="C107" t="s">
        <v>53</v>
      </c>
      <c r="D107" t="s">
        <v>28</v>
      </c>
      <c r="E107" t="s">
        <v>42</v>
      </c>
      <c r="F107" t="s">
        <v>17</v>
      </c>
      <c r="G107" t="s">
        <v>44</v>
      </c>
      <c r="H107">
        <v>5</v>
      </c>
      <c r="I107" s="6">
        <v>1440</v>
      </c>
      <c r="J107">
        <v>0.1</v>
      </c>
      <c r="K107" s="6">
        <v>6480</v>
      </c>
      <c r="L107" s="6">
        <v>5606.97</v>
      </c>
      <c r="M107" s="6">
        <v>873.03</v>
      </c>
      <c r="N107" t="s">
        <v>32</v>
      </c>
    </row>
    <row r="108" spans="1:14" x14ac:dyDescent="0.45">
      <c r="A108">
        <v>1107</v>
      </c>
      <c r="B108" s="1">
        <v>46016</v>
      </c>
      <c r="C108" t="s">
        <v>74</v>
      </c>
      <c r="D108" t="s">
        <v>23</v>
      </c>
      <c r="E108" t="s">
        <v>42</v>
      </c>
      <c r="F108" t="s">
        <v>25</v>
      </c>
      <c r="G108" t="s">
        <v>26</v>
      </c>
      <c r="H108">
        <v>2</v>
      </c>
      <c r="I108" s="6">
        <v>1120</v>
      </c>
      <c r="J108">
        <v>0.15</v>
      </c>
      <c r="K108" s="6">
        <v>1904</v>
      </c>
      <c r="L108" s="6">
        <v>1303.6600000000001</v>
      </c>
      <c r="M108" s="6">
        <v>600.34</v>
      </c>
      <c r="N108" t="s">
        <v>19</v>
      </c>
    </row>
    <row r="109" spans="1:14" x14ac:dyDescent="0.45">
      <c r="A109">
        <v>1108</v>
      </c>
      <c r="B109" s="1">
        <v>46017</v>
      </c>
      <c r="C109" t="s">
        <v>59</v>
      </c>
      <c r="D109" t="s">
        <v>28</v>
      </c>
      <c r="E109" t="s">
        <v>42</v>
      </c>
      <c r="F109" t="s">
        <v>30</v>
      </c>
      <c r="G109" t="s">
        <v>37</v>
      </c>
      <c r="H109">
        <v>3</v>
      </c>
      <c r="I109" s="6">
        <v>710</v>
      </c>
      <c r="J109">
        <v>0.1</v>
      </c>
      <c r="K109" s="6">
        <v>1917</v>
      </c>
      <c r="L109" s="6">
        <v>1677.08</v>
      </c>
      <c r="M109" s="6">
        <v>239.92</v>
      </c>
      <c r="N109" t="s">
        <v>19</v>
      </c>
    </row>
    <row r="110" spans="1:14" x14ac:dyDescent="0.45">
      <c r="A110">
        <v>1109</v>
      </c>
      <c r="B110" s="1">
        <v>46018</v>
      </c>
      <c r="C110" t="s">
        <v>89</v>
      </c>
      <c r="D110" t="s">
        <v>15</v>
      </c>
      <c r="E110" t="s">
        <v>16</v>
      </c>
      <c r="F110" t="s">
        <v>30</v>
      </c>
      <c r="G110" t="s">
        <v>31</v>
      </c>
      <c r="H110">
        <v>3</v>
      </c>
      <c r="I110" s="6">
        <v>520</v>
      </c>
      <c r="J110">
        <v>0.05</v>
      </c>
      <c r="K110" s="6">
        <v>1482</v>
      </c>
      <c r="L110" s="6">
        <v>1171.6199999999999</v>
      </c>
      <c r="M110" s="6">
        <v>310.38</v>
      </c>
      <c r="N110" t="s">
        <v>32</v>
      </c>
    </row>
    <row r="111" spans="1:14" x14ac:dyDescent="0.45">
      <c r="A111">
        <v>1110</v>
      </c>
      <c r="B111" s="1">
        <v>46019</v>
      </c>
      <c r="C111" t="s">
        <v>92</v>
      </c>
      <c r="D111" t="s">
        <v>28</v>
      </c>
      <c r="E111" t="s">
        <v>42</v>
      </c>
      <c r="F111" t="s">
        <v>25</v>
      </c>
      <c r="G111" t="s">
        <v>45</v>
      </c>
      <c r="H111">
        <v>4</v>
      </c>
      <c r="I111" s="6">
        <v>1220</v>
      </c>
      <c r="J111">
        <v>0.05</v>
      </c>
      <c r="K111" s="6">
        <v>4636</v>
      </c>
      <c r="L111" s="6">
        <v>4094.05</v>
      </c>
      <c r="M111" s="6">
        <v>541.95000000000005</v>
      </c>
      <c r="N111" t="s">
        <v>19</v>
      </c>
    </row>
    <row r="112" spans="1:14" x14ac:dyDescent="0.45">
      <c r="A112">
        <v>1111</v>
      </c>
      <c r="B112" s="1">
        <v>46020</v>
      </c>
      <c r="C112" t="s">
        <v>81</v>
      </c>
      <c r="D112" t="s">
        <v>28</v>
      </c>
      <c r="E112" t="s">
        <v>16</v>
      </c>
      <c r="F112" t="s">
        <v>30</v>
      </c>
      <c r="G112" t="s">
        <v>31</v>
      </c>
      <c r="H112">
        <v>4</v>
      </c>
      <c r="I112" s="6">
        <v>350</v>
      </c>
      <c r="J112">
        <v>0.1</v>
      </c>
      <c r="K112" s="6">
        <v>1260</v>
      </c>
      <c r="L112" s="6">
        <v>869.69</v>
      </c>
      <c r="M112" s="6">
        <v>390.31</v>
      </c>
      <c r="N112" t="s">
        <v>34</v>
      </c>
    </row>
    <row r="113" spans="1:14" x14ac:dyDescent="0.45">
      <c r="A113">
        <v>1112</v>
      </c>
      <c r="B113" s="1">
        <v>46021</v>
      </c>
      <c r="C113" t="s">
        <v>65</v>
      </c>
      <c r="D113" t="s">
        <v>40</v>
      </c>
      <c r="E113" t="s">
        <v>16</v>
      </c>
      <c r="F113" t="s">
        <v>30</v>
      </c>
      <c r="G113" t="s">
        <v>37</v>
      </c>
      <c r="H113">
        <v>2</v>
      </c>
      <c r="I113" s="6">
        <v>520</v>
      </c>
      <c r="J113">
        <v>0.15</v>
      </c>
      <c r="K113" s="6">
        <v>884</v>
      </c>
      <c r="L113" s="6">
        <v>742.64</v>
      </c>
      <c r="M113" s="6">
        <v>141.36000000000001</v>
      </c>
      <c r="N113" t="s">
        <v>32</v>
      </c>
    </row>
    <row r="114" spans="1:14" x14ac:dyDescent="0.45">
      <c r="A114">
        <v>1113</v>
      </c>
      <c r="B114" s="1">
        <v>46022</v>
      </c>
      <c r="C114" t="s">
        <v>53</v>
      </c>
      <c r="D114" t="s">
        <v>21</v>
      </c>
      <c r="E114" t="s">
        <v>29</v>
      </c>
      <c r="F114" t="s">
        <v>17</v>
      </c>
      <c r="G114" t="s">
        <v>44</v>
      </c>
      <c r="H114">
        <v>2</v>
      </c>
      <c r="I114" s="6">
        <v>770</v>
      </c>
      <c r="J114">
        <v>0.1</v>
      </c>
      <c r="K114" s="6">
        <v>1386</v>
      </c>
      <c r="L114" s="6">
        <v>845.23</v>
      </c>
      <c r="M114" s="6">
        <v>540.77</v>
      </c>
      <c r="N114" t="s">
        <v>32</v>
      </c>
    </row>
    <row r="115" spans="1:14" x14ac:dyDescent="0.45">
      <c r="A115">
        <v>1114</v>
      </c>
      <c r="B115" s="1">
        <v>46023</v>
      </c>
      <c r="C115" t="s">
        <v>79</v>
      </c>
      <c r="D115" t="s">
        <v>23</v>
      </c>
      <c r="E115" t="s">
        <v>42</v>
      </c>
      <c r="F115" t="s">
        <v>25</v>
      </c>
      <c r="G115" t="s">
        <v>26</v>
      </c>
      <c r="H115">
        <v>1</v>
      </c>
      <c r="I115" s="6">
        <v>1370</v>
      </c>
      <c r="J115">
        <v>0</v>
      </c>
      <c r="K115" s="6">
        <v>1370</v>
      </c>
      <c r="L115" s="6">
        <v>1159.82</v>
      </c>
      <c r="M115" s="6">
        <v>210.18</v>
      </c>
      <c r="N115" t="s">
        <v>19</v>
      </c>
    </row>
    <row r="116" spans="1:14" x14ac:dyDescent="0.45">
      <c r="A116">
        <v>1115</v>
      </c>
      <c r="B116" s="1">
        <v>46024</v>
      </c>
      <c r="C116" t="s">
        <v>35</v>
      </c>
      <c r="D116" t="s">
        <v>21</v>
      </c>
      <c r="E116" t="s">
        <v>16</v>
      </c>
      <c r="F116" t="s">
        <v>25</v>
      </c>
      <c r="G116" t="s">
        <v>26</v>
      </c>
      <c r="H116">
        <v>4</v>
      </c>
      <c r="I116" s="6">
        <v>650</v>
      </c>
      <c r="J116">
        <v>0</v>
      </c>
      <c r="K116" s="6">
        <v>2600</v>
      </c>
      <c r="L116" s="6">
        <v>2283.04</v>
      </c>
      <c r="M116" s="6">
        <v>316.95999999999998</v>
      </c>
      <c r="N116" t="s">
        <v>19</v>
      </c>
    </row>
    <row r="117" spans="1:14" x14ac:dyDescent="0.45">
      <c r="A117">
        <v>1116</v>
      </c>
      <c r="B117" s="1">
        <v>46025</v>
      </c>
      <c r="C117" t="s">
        <v>89</v>
      </c>
      <c r="D117" t="s">
        <v>15</v>
      </c>
      <c r="E117" t="s">
        <v>16</v>
      </c>
      <c r="F117" t="s">
        <v>25</v>
      </c>
      <c r="G117" t="s">
        <v>26</v>
      </c>
      <c r="H117">
        <v>3</v>
      </c>
      <c r="I117" s="6">
        <v>1210</v>
      </c>
      <c r="J117">
        <v>0.15</v>
      </c>
      <c r="K117" s="6">
        <v>3085.5</v>
      </c>
      <c r="L117" s="6">
        <v>2762.88</v>
      </c>
      <c r="M117" s="6">
        <v>322.62</v>
      </c>
      <c r="N117" t="s">
        <v>19</v>
      </c>
    </row>
    <row r="118" spans="1:14" x14ac:dyDescent="0.45">
      <c r="A118">
        <v>1117</v>
      </c>
      <c r="B118" s="1">
        <v>46026</v>
      </c>
      <c r="C118" t="s">
        <v>22</v>
      </c>
      <c r="D118" t="s">
        <v>15</v>
      </c>
      <c r="E118" t="s">
        <v>24</v>
      </c>
      <c r="F118" t="s">
        <v>25</v>
      </c>
      <c r="G118" t="s">
        <v>45</v>
      </c>
      <c r="H118">
        <v>3</v>
      </c>
      <c r="I118" s="6">
        <v>1950</v>
      </c>
      <c r="J118">
        <v>0.15</v>
      </c>
      <c r="K118" s="6">
        <v>4972.5</v>
      </c>
      <c r="L118" s="6">
        <v>2745.66</v>
      </c>
      <c r="M118" s="6">
        <v>2226.84</v>
      </c>
      <c r="N118" t="s">
        <v>32</v>
      </c>
    </row>
    <row r="119" spans="1:14" x14ac:dyDescent="0.45">
      <c r="A119">
        <v>1118</v>
      </c>
      <c r="B119" s="1">
        <v>46027</v>
      </c>
      <c r="C119" t="s">
        <v>93</v>
      </c>
      <c r="D119" t="s">
        <v>21</v>
      </c>
      <c r="E119" t="s">
        <v>42</v>
      </c>
      <c r="F119" t="s">
        <v>25</v>
      </c>
      <c r="G119" t="s">
        <v>26</v>
      </c>
      <c r="H119">
        <v>1</v>
      </c>
      <c r="I119" s="6">
        <v>780</v>
      </c>
      <c r="J119">
        <v>0.05</v>
      </c>
      <c r="K119" s="6">
        <v>741</v>
      </c>
      <c r="L119" s="6">
        <v>472.94</v>
      </c>
      <c r="M119" s="6">
        <v>268.06</v>
      </c>
      <c r="N119" t="s">
        <v>32</v>
      </c>
    </row>
    <row r="120" spans="1:14" x14ac:dyDescent="0.45">
      <c r="A120">
        <v>1119</v>
      </c>
      <c r="B120" s="1">
        <v>46028</v>
      </c>
      <c r="C120" t="s">
        <v>94</v>
      </c>
      <c r="D120" t="s">
        <v>23</v>
      </c>
      <c r="E120" t="s">
        <v>24</v>
      </c>
      <c r="F120" t="s">
        <v>17</v>
      </c>
      <c r="G120" t="s">
        <v>44</v>
      </c>
      <c r="H120">
        <v>3</v>
      </c>
      <c r="I120" s="6">
        <v>1900</v>
      </c>
      <c r="J120">
        <v>0.05</v>
      </c>
      <c r="K120" s="6">
        <v>5415</v>
      </c>
      <c r="L120" s="6">
        <v>4565.6400000000003</v>
      </c>
      <c r="M120" s="6">
        <v>849.36</v>
      </c>
      <c r="N120" t="s">
        <v>34</v>
      </c>
    </row>
    <row r="121" spans="1:14" x14ac:dyDescent="0.45">
      <c r="A121">
        <v>1120</v>
      </c>
      <c r="B121" s="1">
        <v>46029</v>
      </c>
      <c r="C121" t="s">
        <v>14</v>
      </c>
      <c r="D121" t="s">
        <v>40</v>
      </c>
      <c r="E121" t="s">
        <v>24</v>
      </c>
      <c r="F121" t="s">
        <v>17</v>
      </c>
      <c r="G121" t="s">
        <v>18</v>
      </c>
      <c r="H121">
        <v>1</v>
      </c>
      <c r="I121" s="6">
        <v>1870</v>
      </c>
      <c r="J121">
        <v>0.05</v>
      </c>
      <c r="K121" s="6">
        <v>1776.5</v>
      </c>
      <c r="L121" s="6">
        <v>1441.01</v>
      </c>
      <c r="M121" s="6">
        <v>335.49</v>
      </c>
      <c r="N121" t="s">
        <v>19</v>
      </c>
    </row>
    <row r="122" spans="1:14" x14ac:dyDescent="0.45">
      <c r="A122">
        <v>1121</v>
      </c>
      <c r="B122" s="1">
        <v>46030</v>
      </c>
      <c r="C122" t="s">
        <v>95</v>
      </c>
      <c r="D122" t="s">
        <v>40</v>
      </c>
      <c r="E122" t="s">
        <v>16</v>
      </c>
      <c r="F122" t="s">
        <v>17</v>
      </c>
      <c r="G122" t="s">
        <v>44</v>
      </c>
      <c r="H122">
        <v>3</v>
      </c>
      <c r="I122" s="6">
        <v>860</v>
      </c>
      <c r="J122">
        <v>0.1</v>
      </c>
      <c r="K122" s="6">
        <v>2322</v>
      </c>
      <c r="L122" s="6">
        <v>1238.4000000000001</v>
      </c>
      <c r="M122" s="6">
        <v>1083.5999999999999</v>
      </c>
      <c r="N122" t="s">
        <v>32</v>
      </c>
    </row>
    <row r="123" spans="1:14" x14ac:dyDescent="0.45">
      <c r="A123">
        <v>1122</v>
      </c>
      <c r="B123" s="1">
        <v>46031</v>
      </c>
      <c r="C123" t="s">
        <v>96</v>
      </c>
      <c r="D123" t="s">
        <v>40</v>
      </c>
      <c r="E123" t="s">
        <v>29</v>
      </c>
      <c r="F123" t="s">
        <v>25</v>
      </c>
      <c r="G123" t="s">
        <v>45</v>
      </c>
      <c r="H123">
        <v>4</v>
      </c>
      <c r="I123" s="6">
        <v>1920</v>
      </c>
      <c r="J123">
        <v>0</v>
      </c>
      <c r="K123" s="6">
        <v>7680</v>
      </c>
      <c r="L123" s="6">
        <v>5809.08</v>
      </c>
      <c r="M123" s="6">
        <v>1870.92</v>
      </c>
      <c r="N123" t="s">
        <v>19</v>
      </c>
    </row>
    <row r="124" spans="1:14" x14ac:dyDescent="0.45">
      <c r="A124">
        <v>1123</v>
      </c>
      <c r="B124" s="1">
        <v>46032</v>
      </c>
      <c r="C124" t="s">
        <v>68</v>
      </c>
      <c r="D124" t="s">
        <v>28</v>
      </c>
      <c r="E124" t="s">
        <v>42</v>
      </c>
      <c r="F124" t="s">
        <v>30</v>
      </c>
      <c r="G124" t="s">
        <v>31</v>
      </c>
      <c r="H124">
        <v>3</v>
      </c>
      <c r="I124" s="6">
        <v>1320</v>
      </c>
      <c r="J124">
        <v>0.1</v>
      </c>
      <c r="K124" s="6">
        <v>3564</v>
      </c>
      <c r="L124" s="6">
        <v>2613.06</v>
      </c>
      <c r="M124" s="6">
        <v>950.94</v>
      </c>
      <c r="N124" t="s">
        <v>19</v>
      </c>
    </row>
    <row r="125" spans="1:14" x14ac:dyDescent="0.45">
      <c r="A125">
        <v>1124</v>
      </c>
      <c r="B125" s="1">
        <v>46033</v>
      </c>
      <c r="C125" t="s">
        <v>56</v>
      </c>
      <c r="D125" t="s">
        <v>28</v>
      </c>
      <c r="E125" t="s">
        <v>29</v>
      </c>
      <c r="F125" t="s">
        <v>25</v>
      </c>
      <c r="G125" t="s">
        <v>26</v>
      </c>
      <c r="H125">
        <v>2</v>
      </c>
      <c r="I125" s="6">
        <v>780</v>
      </c>
      <c r="J125">
        <v>0.05</v>
      </c>
      <c r="K125" s="6">
        <v>1482</v>
      </c>
      <c r="L125" s="6">
        <v>938.27</v>
      </c>
      <c r="M125" s="6">
        <v>543.73</v>
      </c>
      <c r="N125" t="s">
        <v>19</v>
      </c>
    </row>
    <row r="126" spans="1:14" x14ac:dyDescent="0.45">
      <c r="A126">
        <v>1125</v>
      </c>
      <c r="B126" s="1">
        <v>46034</v>
      </c>
      <c r="C126" t="s">
        <v>77</v>
      </c>
      <c r="D126" t="s">
        <v>28</v>
      </c>
      <c r="E126" t="s">
        <v>42</v>
      </c>
      <c r="F126" t="s">
        <v>17</v>
      </c>
      <c r="G126" t="s">
        <v>44</v>
      </c>
      <c r="H126">
        <v>5</v>
      </c>
      <c r="I126" s="6">
        <v>1680</v>
      </c>
      <c r="J126">
        <v>0.1</v>
      </c>
      <c r="K126" s="6">
        <v>7560</v>
      </c>
      <c r="L126" s="6">
        <v>4701.95</v>
      </c>
      <c r="M126" s="6">
        <v>2858.05</v>
      </c>
      <c r="N126" t="s">
        <v>34</v>
      </c>
    </row>
    <row r="127" spans="1:14" x14ac:dyDescent="0.45">
      <c r="A127">
        <v>1126</v>
      </c>
      <c r="B127" s="1">
        <v>46035</v>
      </c>
      <c r="C127" t="s">
        <v>97</v>
      </c>
      <c r="D127" t="s">
        <v>23</v>
      </c>
      <c r="E127" t="s">
        <v>42</v>
      </c>
      <c r="F127" t="s">
        <v>17</v>
      </c>
      <c r="G127" t="s">
        <v>18</v>
      </c>
      <c r="H127">
        <v>3</v>
      </c>
      <c r="I127" s="6">
        <v>840</v>
      </c>
      <c r="J127">
        <v>0.15</v>
      </c>
      <c r="K127" s="6">
        <v>2142</v>
      </c>
      <c r="L127" s="6">
        <v>1777.44</v>
      </c>
      <c r="M127" s="6">
        <v>364.56</v>
      </c>
      <c r="N127" t="s">
        <v>19</v>
      </c>
    </row>
    <row r="128" spans="1:14" x14ac:dyDescent="0.45">
      <c r="A128">
        <v>1127</v>
      </c>
      <c r="B128" s="1">
        <v>46036</v>
      </c>
      <c r="C128" t="s">
        <v>98</v>
      </c>
      <c r="D128" t="s">
        <v>28</v>
      </c>
      <c r="E128" t="s">
        <v>24</v>
      </c>
      <c r="F128" t="s">
        <v>25</v>
      </c>
      <c r="G128" t="s">
        <v>26</v>
      </c>
      <c r="H128">
        <v>5</v>
      </c>
      <c r="I128" s="6">
        <v>1450</v>
      </c>
      <c r="J128">
        <v>0.15</v>
      </c>
      <c r="K128" s="6">
        <v>6162.5</v>
      </c>
      <c r="L128" s="6">
        <v>3669.85</v>
      </c>
      <c r="M128" s="6">
        <v>2492.65</v>
      </c>
      <c r="N128" t="s">
        <v>34</v>
      </c>
    </row>
    <row r="129" spans="1:14" x14ac:dyDescent="0.45">
      <c r="A129">
        <v>1128</v>
      </c>
      <c r="B129" s="1">
        <v>46037</v>
      </c>
      <c r="C129" t="s">
        <v>14</v>
      </c>
      <c r="D129" t="s">
        <v>15</v>
      </c>
      <c r="E129" t="s">
        <v>16</v>
      </c>
      <c r="F129" t="s">
        <v>25</v>
      </c>
      <c r="G129" t="s">
        <v>26</v>
      </c>
      <c r="H129">
        <v>2</v>
      </c>
      <c r="I129" s="6">
        <v>1970</v>
      </c>
      <c r="J129">
        <v>0.05</v>
      </c>
      <c r="K129" s="6">
        <v>3743</v>
      </c>
      <c r="L129" s="6">
        <v>1946.69</v>
      </c>
      <c r="M129" s="6">
        <v>1796.31</v>
      </c>
      <c r="N129" t="s">
        <v>32</v>
      </c>
    </row>
    <row r="130" spans="1:14" x14ac:dyDescent="0.45">
      <c r="A130">
        <v>1129</v>
      </c>
      <c r="B130" s="1">
        <v>46038</v>
      </c>
      <c r="C130" t="s">
        <v>43</v>
      </c>
      <c r="D130" t="s">
        <v>21</v>
      </c>
      <c r="E130" t="s">
        <v>24</v>
      </c>
      <c r="F130" t="s">
        <v>30</v>
      </c>
      <c r="G130" t="s">
        <v>37</v>
      </c>
      <c r="H130">
        <v>1</v>
      </c>
      <c r="I130" s="6">
        <v>1600</v>
      </c>
      <c r="J130">
        <v>0</v>
      </c>
      <c r="K130" s="6">
        <v>1600</v>
      </c>
      <c r="L130" s="6">
        <v>1246.29</v>
      </c>
      <c r="M130" s="6">
        <v>353.71</v>
      </c>
      <c r="N130" t="s">
        <v>19</v>
      </c>
    </row>
    <row r="131" spans="1:14" x14ac:dyDescent="0.45">
      <c r="A131">
        <v>1130</v>
      </c>
      <c r="B131" s="1">
        <v>46039</v>
      </c>
      <c r="C131" t="s">
        <v>99</v>
      </c>
      <c r="D131" t="s">
        <v>15</v>
      </c>
      <c r="E131" t="s">
        <v>16</v>
      </c>
      <c r="F131" t="s">
        <v>17</v>
      </c>
      <c r="G131" t="s">
        <v>44</v>
      </c>
      <c r="H131">
        <v>1</v>
      </c>
      <c r="I131" s="6">
        <v>1790</v>
      </c>
      <c r="J131">
        <v>0.1</v>
      </c>
      <c r="K131" s="6">
        <v>1611</v>
      </c>
      <c r="L131" s="6">
        <v>1329.58</v>
      </c>
      <c r="M131" s="6">
        <v>281.42</v>
      </c>
      <c r="N131" t="s">
        <v>19</v>
      </c>
    </row>
    <row r="132" spans="1:14" x14ac:dyDescent="0.45">
      <c r="A132">
        <v>1131</v>
      </c>
      <c r="B132" s="1">
        <v>46040</v>
      </c>
      <c r="C132" t="s">
        <v>52</v>
      </c>
      <c r="D132" t="s">
        <v>15</v>
      </c>
      <c r="E132" t="s">
        <v>24</v>
      </c>
      <c r="F132" t="s">
        <v>17</v>
      </c>
      <c r="G132" t="s">
        <v>44</v>
      </c>
      <c r="H132">
        <v>2</v>
      </c>
      <c r="I132" s="6">
        <v>1820</v>
      </c>
      <c r="J132">
        <v>0.15</v>
      </c>
      <c r="K132" s="6">
        <v>3094</v>
      </c>
      <c r="L132" s="6">
        <v>2589.6799999999998</v>
      </c>
      <c r="M132" s="6">
        <v>504.32</v>
      </c>
      <c r="N132" t="s">
        <v>19</v>
      </c>
    </row>
    <row r="133" spans="1:14" x14ac:dyDescent="0.45">
      <c r="A133">
        <v>1132</v>
      </c>
      <c r="B133" s="1">
        <v>46041</v>
      </c>
      <c r="C133" t="s">
        <v>54</v>
      </c>
      <c r="D133" t="s">
        <v>15</v>
      </c>
      <c r="E133" t="s">
        <v>29</v>
      </c>
      <c r="F133" t="s">
        <v>25</v>
      </c>
      <c r="G133" t="s">
        <v>26</v>
      </c>
      <c r="H133">
        <v>5</v>
      </c>
      <c r="I133" s="6">
        <v>390</v>
      </c>
      <c r="J133">
        <v>0.15</v>
      </c>
      <c r="K133" s="6">
        <v>1657.5</v>
      </c>
      <c r="L133" s="6">
        <v>849.02</v>
      </c>
      <c r="M133" s="6">
        <v>808.48</v>
      </c>
      <c r="N133" t="s">
        <v>19</v>
      </c>
    </row>
    <row r="134" spans="1:14" x14ac:dyDescent="0.45">
      <c r="A134">
        <v>1133</v>
      </c>
      <c r="B134" s="1">
        <v>46042</v>
      </c>
      <c r="C134" t="s">
        <v>89</v>
      </c>
      <c r="D134" t="s">
        <v>28</v>
      </c>
      <c r="E134" t="s">
        <v>16</v>
      </c>
      <c r="F134" t="s">
        <v>17</v>
      </c>
      <c r="G134" t="s">
        <v>18</v>
      </c>
      <c r="H134">
        <v>1</v>
      </c>
      <c r="I134" s="6">
        <v>730</v>
      </c>
      <c r="J134">
        <v>0.1</v>
      </c>
      <c r="K134" s="6">
        <v>657</v>
      </c>
      <c r="L134" s="6">
        <v>559.52</v>
      </c>
      <c r="M134" s="6">
        <v>97.48</v>
      </c>
      <c r="N134" t="s">
        <v>32</v>
      </c>
    </row>
    <row r="135" spans="1:14" x14ac:dyDescent="0.45">
      <c r="A135">
        <v>1134</v>
      </c>
      <c r="B135" s="1">
        <v>46043</v>
      </c>
      <c r="C135" t="s">
        <v>56</v>
      </c>
      <c r="D135" t="s">
        <v>15</v>
      </c>
      <c r="E135" t="s">
        <v>24</v>
      </c>
      <c r="F135" t="s">
        <v>17</v>
      </c>
      <c r="G135" t="s">
        <v>44</v>
      </c>
      <c r="H135">
        <v>1</v>
      </c>
      <c r="I135" s="6">
        <v>520</v>
      </c>
      <c r="J135">
        <v>0.1</v>
      </c>
      <c r="K135" s="6">
        <v>468</v>
      </c>
      <c r="L135" s="6">
        <v>325.39999999999998</v>
      </c>
      <c r="M135" s="6">
        <v>142.6</v>
      </c>
      <c r="N135" t="s">
        <v>32</v>
      </c>
    </row>
    <row r="136" spans="1:14" x14ac:dyDescent="0.45">
      <c r="A136">
        <v>1135</v>
      </c>
      <c r="B136" s="1">
        <v>46044</v>
      </c>
      <c r="C136" t="s">
        <v>53</v>
      </c>
      <c r="D136" t="s">
        <v>23</v>
      </c>
      <c r="E136" t="s">
        <v>29</v>
      </c>
      <c r="F136" t="s">
        <v>17</v>
      </c>
      <c r="G136" t="s">
        <v>18</v>
      </c>
      <c r="H136">
        <v>1</v>
      </c>
      <c r="I136" s="6">
        <v>420</v>
      </c>
      <c r="J136">
        <v>0</v>
      </c>
      <c r="K136" s="6">
        <v>420</v>
      </c>
      <c r="L136" s="6">
        <v>255.11</v>
      </c>
      <c r="M136" s="6">
        <v>164.89</v>
      </c>
      <c r="N136" t="s">
        <v>34</v>
      </c>
    </row>
    <row r="137" spans="1:14" x14ac:dyDescent="0.45">
      <c r="A137">
        <v>1136</v>
      </c>
      <c r="B137" s="1">
        <v>46045</v>
      </c>
      <c r="C137" t="s">
        <v>52</v>
      </c>
      <c r="D137" t="s">
        <v>21</v>
      </c>
      <c r="E137" t="s">
        <v>16</v>
      </c>
      <c r="F137" t="s">
        <v>30</v>
      </c>
      <c r="G137" t="s">
        <v>31</v>
      </c>
      <c r="H137">
        <v>3</v>
      </c>
      <c r="I137" s="6">
        <v>1820</v>
      </c>
      <c r="J137">
        <v>0.15</v>
      </c>
      <c r="K137" s="6">
        <v>4641</v>
      </c>
      <c r="L137" s="6">
        <v>3771.61</v>
      </c>
      <c r="M137" s="6">
        <v>869.39</v>
      </c>
      <c r="N137" t="s">
        <v>32</v>
      </c>
    </row>
    <row r="138" spans="1:14" x14ac:dyDescent="0.45">
      <c r="A138">
        <v>1137</v>
      </c>
      <c r="B138" s="1">
        <v>46046</v>
      </c>
      <c r="C138" t="s">
        <v>64</v>
      </c>
      <c r="D138" t="s">
        <v>40</v>
      </c>
      <c r="E138" t="s">
        <v>24</v>
      </c>
      <c r="F138" t="s">
        <v>17</v>
      </c>
      <c r="G138" t="s">
        <v>18</v>
      </c>
      <c r="H138">
        <v>1</v>
      </c>
      <c r="I138" s="6">
        <v>1190</v>
      </c>
      <c r="J138">
        <v>0</v>
      </c>
      <c r="K138" s="6">
        <v>1190</v>
      </c>
      <c r="L138" s="6">
        <v>882.68</v>
      </c>
      <c r="M138" s="6">
        <v>307.32</v>
      </c>
      <c r="N138" t="s">
        <v>32</v>
      </c>
    </row>
    <row r="139" spans="1:14" x14ac:dyDescent="0.45">
      <c r="A139">
        <v>1138</v>
      </c>
      <c r="B139" s="1">
        <v>46047</v>
      </c>
      <c r="C139" t="s">
        <v>61</v>
      </c>
      <c r="D139" t="s">
        <v>21</v>
      </c>
      <c r="E139" t="s">
        <v>24</v>
      </c>
      <c r="F139" t="s">
        <v>25</v>
      </c>
      <c r="G139" t="s">
        <v>26</v>
      </c>
      <c r="H139">
        <v>1</v>
      </c>
      <c r="I139" s="6">
        <v>490</v>
      </c>
      <c r="J139">
        <v>0.15</v>
      </c>
      <c r="K139" s="6">
        <v>416.5</v>
      </c>
      <c r="L139" s="6">
        <v>370.2</v>
      </c>
      <c r="M139" s="6">
        <v>46.3</v>
      </c>
      <c r="N139" t="s">
        <v>32</v>
      </c>
    </row>
    <row r="140" spans="1:14" x14ac:dyDescent="0.45">
      <c r="A140">
        <v>1139</v>
      </c>
      <c r="B140" s="1">
        <v>46048</v>
      </c>
      <c r="C140" t="s">
        <v>74</v>
      </c>
      <c r="D140" t="s">
        <v>28</v>
      </c>
      <c r="E140" t="s">
        <v>42</v>
      </c>
      <c r="F140" t="s">
        <v>30</v>
      </c>
      <c r="G140" t="s">
        <v>37</v>
      </c>
      <c r="H140">
        <v>3</v>
      </c>
      <c r="I140" s="6">
        <v>1930</v>
      </c>
      <c r="J140">
        <v>0</v>
      </c>
      <c r="K140" s="6">
        <v>5790</v>
      </c>
      <c r="L140" s="6">
        <v>3008.33</v>
      </c>
      <c r="M140" s="6">
        <v>2781.67</v>
      </c>
      <c r="N140" t="s">
        <v>34</v>
      </c>
    </row>
    <row r="141" spans="1:14" x14ac:dyDescent="0.45">
      <c r="A141">
        <v>1140</v>
      </c>
      <c r="B141" s="1">
        <v>46049</v>
      </c>
      <c r="C141" t="s">
        <v>84</v>
      </c>
      <c r="D141" t="s">
        <v>28</v>
      </c>
      <c r="E141" t="s">
        <v>16</v>
      </c>
      <c r="F141" t="s">
        <v>17</v>
      </c>
      <c r="G141" t="s">
        <v>18</v>
      </c>
      <c r="H141">
        <v>1</v>
      </c>
      <c r="I141" s="6">
        <v>1380</v>
      </c>
      <c r="J141">
        <v>0.05</v>
      </c>
      <c r="K141" s="6">
        <v>1311</v>
      </c>
      <c r="L141" s="6">
        <v>804.08</v>
      </c>
      <c r="M141" s="6">
        <v>506.92</v>
      </c>
      <c r="N141" t="s">
        <v>34</v>
      </c>
    </row>
    <row r="142" spans="1:14" x14ac:dyDescent="0.45">
      <c r="A142">
        <v>1141</v>
      </c>
      <c r="B142" s="1">
        <v>46050</v>
      </c>
      <c r="C142" t="s">
        <v>90</v>
      </c>
      <c r="D142" t="s">
        <v>28</v>
      </c>
      <c r="E142" t="s">
        <v>42</v>
      </c>
      <c r="F142" t="s">
        <v>17</v>
      </c>
      <c r="G142" t="s">
        <v>44</v>
      </c>
      <c r="H142">
        <v>3</v>
      </c>
      <c r="I142" s="6">
        <v>570</v>
      </c>
      <c r="J142">
        <v>0</v>
      </c>
      <c r="K142" s="6">
        <v>1710</v>
      </c>
      <c r="L142" s="6">
        <v>1411.64</v>
      </c>
      <c r="M142" s="6">
        <v>298.36</v>
      </c>
      <c r="N142" t="s">
        <v>19</v>
      </c>
    </row>
    <row r="143" spans="1:14" x14ac:dyDescent="0.45">
      <c r="A143">
        <v>1142</v>
      </c>
      <c r="B143" s="1">
        <v>46051</v>
      </c>
      <c r="C143" t="s">
        <v>38</v>
      </c>
      <c r="D143" t="s">
        <v>28</v>
      </c>
      <c r="E143" t="s">
        <v>42</v>
      </c>
      <c r="F143" t="s">
        <v>30</v>
      </c>
      <c r="G143" t="s">
        <v>31</v>
      </c>
      <c r="H143">
        <v>2</v>
      </c>
      <c r="I143" s="6">
        <v>1450</v>
      </c>
      <c r="J143">
        <v>0.15</v>
      </c>
      <c r="K143" s="6">
        <v>2465</v>
      </c>
      <c r="L143" s="6">
        <v>1362.19</v>
      </c>
      <c r="M143" s="6">
        <v>1102.81</v>
      </c>
      <c r="N143" t="s">
        <v>19</v>
      </c>
    </row>
    <row r="144" spans="1:14" x14ac:dyDescent="0.45">
      <c r="A144">
        <v>1143</v>
      </c>
      <c r="B144" s="1">
        <v>46052</v>
      </c>
      <c r="C144" t="s">
        <v>72</v>
      </c>
      <c r="D144" t="s">
        <v>40</v>
      </c>
      <c r="E144" t="s">
        <v>24</v>
      </c>
      <c r="F144" t="s">
        <v>30</v>
      </c>
      <c r="G144" t="s">
        <v>37</v>
      </c>
      <c r="H144">
        <v>3</v>
      </c>
      <c r="I144" s="6">
        <v>220</v>
      </c>
      <c r="J144">
        <v>0</v>
      </c>
      <c r="K144" s="6">
        <v>660</v>
      </c>
      <c r="L144" s="6">
        <v>410.25</v>
      </c>
      <c r="M144" s="6">
        <v>249.75</v>
      </c>
      <c r="N144" t="s">
        <v>19</v>
      </c>
    </row>
    <row r="145" spans="1:14" x14ac:dyDescent="0.45">
      <c r="A145">
        <v>1144</v>
      </c>
      <c r="B145" s="1">
        <v>46053</v>
      </c>
      <c r="C145" t="s">
        <v>36</v>
      </c>
      <c r="D145" t="s">
        <v>23</v>
      </c>
      <c r="E145" t="s">
        <v>24</v>
      </c>
      <c r="F145" t="s">
        <v>17</v>
      </c>
      <c r="G145" t="s">
        <v>18</v>
      </c>
      <c r="H145">
        <v>3</v>
      </c>
      <c r="I145" s="6">
        <v>1630</v>
      </c>
      <c r="J145">
        <v>0.15</v>
      </c>
      <c r="K145" s="6">
        <v>4156.5</v>
      </c>
      <c r="L145" s="6">
        <v>3197.95</v>
      </c>
      <c r="M145" s="6">
        <v>958.55</v>
      </c>
      <c r="N145" t="s">
        <v>19</v>
      </c>
    </row>
    <row r="146" spans="1:14" x14ac:dyDescent="0.45">
      <c r="A146">
        <v>1145</v>
      </c>
      <c r="B146" s="1">
        <v>46054</v>
      </c>
      <c r="C146" t="s">
        <v>58</v>
      </c>
      <c r="D146" t="s">
        <v>15</v>
      </c>
      <c r="E146" t="s">
        <v>29</v>
      </c>
      <c r="F146" t="s">
        <v>25</v>
      </c>
      <c r="G146" t="s">
        <v>26</v>
      </c>
      <c r="H146">
        <v>2</v>
      </c>
      <c r="I146" s="6">
        <v>1590</v>
      </c>
      <c r="J146">
        <v>0.05</v>
      </c>
      <c r="K146" s="6">
        <v>3021</v>
      </c>
      <c r="L146" s="6">
        <v>1940.85</v>
      </c>
      <c r="M146" s="6">
        <v>1080.1500000000001</v>
      </c>
      <c r="N146" t="s">
        <v>34</v>
      </c>
    </row>
    <row r="147" spans="1:14" x14ac:dyDescent="0.45">
      <c r="A147">
        <v>1146</v>
      </c>
      <c r="B147" s="1">
        <v>46055</v>
      </c>
      <c r="C147" t="s">
        <v>80</v>
      </c>
      <c r="D147" t="s">
        <v>21</v>
      </c>
      <c r="E147" t="s">
        <v>42</v>
      </c>
      <c r="F147" t="s">
        <v>25</v>
      </c>
      <c r="G147" t="s">
        <v>26</v>
      </c>
      <c r="H147">
        <v>2</v>
      </c>
      <c r="I147" s="6">
        <v>1500</v>
      </c>
      <c r="J147">
        <v>0.05</v>
      </c>
      <c r="K147" s="6">
        <v>2850</v>
      </c>
      <c r="L147" s="6">
        <v>2461.94</v>
      </c>
      <c r="M147" s="6">
        <v>388.06</v>
      </c>
      <c r="N147" t="s">
        <v>32</v>
      </c>
    </row>
    <row r="148" spans="1:14" x14ac:dyDescent="0.45">
      <c r="A148">
        <v>1147</v>
      </c>
      <c r="B148" s="1">
        <v>46056</v>
      </c>
      <c r="C148" t="s">
        <v>48</v>
      </c>
      <c r="D148" t="s">
        <v>21</v>
      </c>
      <c r="E148" t="s">
        <v>29</v>
      </c>
      <c r="F148" t="s">
        <v>30</v>
      </c>
      <c r="G148" t="s">
        <v>31</v>
      </c>
      <c r="H148">
        <v>1</v>
      </c>
      <c r="I148" s="6">
        <v>860</v>
      </c>
      <c r="J148">
        <v>0.15</v>
      </c>
      <c r="K148" s="6">
        <v>731</v>
      </c>
      <c r="L148" s="6">
        <v>394.21</v>
      </c>
      <c r="M148" s="6">
        <v>336.79</v>
      </c>
      <c r="N148" t="s">
        <v>32</v>
      </c>
    </row>
    <row r="149" spans="1:14" x14ac:dyDescent="0.45">
      <c r="A149">
        <v>1148</v>
      </c>
      <c r="B149" s="1">
        <v>46057</v>
      </c>
      <c r="C149" t="s">
        <v>33</v>
      </c>
      <c r="D149" t="s">
        <v>28</v>
      </c>
      <c r="E149" t="s">
        <v>29</v>
      </c>
      <c r="F149" t="s">
        <v>25</v>
      </c>
      <c r="G149" t="s">
        <v>45</v>
      </c>
      <c r="H149">
        <v>2</v>
      </c>
      <c r="I149" s="6">
        <v>1100</v>
      </c>
      <c r="J149">
        <v>0.15</v>
      </c>
      <c r="K149" s="6">
        <v>1870</v>
      </c>
      <c r="L149" s="6">
        <v>1439.8</v>
      </c>
      <c r="M149" s="6">
        <v>430.2</v>
      </c>
      <c r="N149" t="s">
        <v>34</v>
      </c>
    </row>
    <row r="150" spans="1:14" x14ac:dyDescent="0.45">
      <c r="A150">
        <v>1149</v>
      </c>
      <c r="B150" s="1">
        <v>46058</v>
      </c>
      <c r="C150" t="s">
        <v>52</v>
      </c>
      <c r="D150" t="s">
        <v>21</v>
      </c>
      <c r="E150" t="s">
        <v>42</v>
      </c>
      <c r="F150" t="s">
        <v>30</v>
      </c>
      <c r="G150" t="s">
        <v>31</v>
      </c>
      <c r="H150">
        <v>2</v>
      </c>
      <c r="I150" s="6">
        <v>1470</v>
      </c>
      <c r="J150">
        <v>0.05</v>
      </c>
      <c r="K150" s="6">
        <v>2793</v>
      </c>
      <c r="L150" s="6">
        <v>2444.23</v>
      </c>
      <c r="M150" s="6">
        <v>348.77</v>
      </c>
      <c r="N150" t="s">
        <v>34</v>
      </c>
    </row>
    <row r="151" spans="1:14" x14ac:dyDescent="0.45">
      <c r="A151">
        <v>1150</v>
      </c>
      <c r="B151" s="1">
        <v>46059</v>
      </c>
      <c r="C151" t="s">
        <v>78</v>
      </c>
      <c r="D151" t="s">
        <v>21</v>
      </c>
      <c r="E151" t="s">
        <v>29</v>
      </c>
      <c r="F151" t="s">
        <v>17</v>
      </c>
      <c r="G151" t="s">
        <v>18</v>
      </c>
      <c r="H151">
        <v>5</v>
      </c>
      <c r="I151" s="6">
        <v>460</v>
      </c>
      <c r="J151">
        <v>0.1</v>
      </c>
      <c r="K151" s="6">
        <v>2070</v>
      </c>
      <c r="L151" s="6">
        <v>1610.43</v>
      </c>
      <c r="M151" s="6">
        <v>459.57</v>
      </c>
      <c r="N151" t="s">
        <v>32</v>
      </c>
    </row>
    <row r="152" spans="1:14" x14ac:dyDescent="0.45">
      <c r="A152">
        <v>1151</v>
      </c>
      <c r="B152" s="1">
        <v>46060</v>
      </c>
      <c r="C152" t="s">
        <v>22</v>
      </c>
      <c r="D152" t="s">
        <v>23</v>
      </c>
      <c r="E152" t="s">
        <v>29</v>
      </c>
      <c r="F152" t="s">
        <v>25</v>
      </c>
      <c r="G152" t="s">
        <v>45</v>
      </c>
      <c r="H152">
        <v>2</v>
      </c>
      <c r="I152" s="6">
        <v>1070</v>
      </c>
      <c r="J152">
        <v>0.15</v>
      </c>
      <c r="K152" s="6">
        <v>1819</v>
      </c>
      <c r="L152" s="6">
        <v>997.94</v>
      </c>
      <c r="M152" s="6">
        <v>821.06</v>
      </c>
      <c r="N152" t="s">
        <v>19</v>
      </c>
    </row>
    <row r="153" spans="1:14" x14ac:dyDescent="0.45">
      <c r="A153">
        <v>1152</v>
      </c>
      <c r="B153" s="1">
        <v>46061</v>
      </c>
      <c r="C153" t="s">
        <v>77</v>
      </c>
      <c r="D153" t="s">
        <v>40</v>
      </c>
      <c r="E153" t="s">
        <v>24</v>
      </c>
      <c r="F153" t="s">
        <v>17</v>
      </c>
      <c r="G153" t="s">
        <v>18</v>
      </c>
      <c r="H153">
        <v>2</v>
      </c>
      <c r="I153" s="6">
        <v>910</v>
      </c>
      <c r="J153">
        <v>0</v>
      </c>
      <c r="K153" s="6">
        <v>1820</v>
      </c>
      <c r="L153" s="6">
        <v>1372.54</v>
      </c>
      <c r="M153" s="6">
        <v>447.46</v>
      </c>
      <c r="N153" t="s">
        <v>34</v>
      </c>
    </row>
    <row r="154" spans="1:14" x14ac:dyDescent="0.45">
      <c r="A154">
        <v>1153</v>
      </c>
      <c r="B154" s="1">
        <v>46062</v>
      </c>
      <c r="C154" t="s">
        <v>85</v>
      </c>
      <c r="D154" t="s">
        <v>21</v>
      </c>
      <c r="E154" t="s">
        <v>42</v>
      </c>
      <c r="F154" t="s">
        <v>30</v>
      </c>
      <c r="G154" t="s">
        <v>31</v>
      </c>
      <c r="H154">
        <v>4</v>
      </c>
      <c r="I154" s="6">
        <v>1310</v>
      </c>
      <c r="J154">
        <v>0.1</v>
      </c>
      <c r="K154" s="6">
        <v>4716</v>
      </c>
      <c r="L154" s="6">
        <v>4195.92</v>
      </c>
      <c r="M154" s="6">
        <v>520.08000000000004</v>
      </c>
      <c r="N154" t="s">
        <v>32</v>
      </c>
    </row>
    <row r="155" spans="1:14" x14ac:dyDescent="0.45">
      <c r="A155">
        <v>1154</v>
      </c>
      <c r="B155" s="1">
        <v>46063</v>
      </c>
      <c r="C155" t="s">
        <v>100</v>
      </c>
      <c r="D155" t="s">
        <v>28</v>
      </c>
      <c r="E155" t="s">
        <v>24</v>
      </c>
      <c r="F155" t="s">
        <v>30</v>
      </c>
      <c r="G155" t="s">
        <v>31</v>
      </c>
      <c r="H155">
        <v>3</v>
      </c>
      <c r="I155" s="6">
        <v>340</v>
      </c>
      <c r="J155">
        <v>0.15</v>
      </c>
      <c r="K155" s="6">
        <v>867</v>
      </c>
      <c r="L155" s="6">
        <v>517.1</v>
      </c>
      <c r="M155" s="6">
        <v>349.9</v>
      </c>
      <c r="N155" t="s">
        <v>34</v>
      </c>
    </row>
    <row r="156" spans="1:14" x14ac:dyDescent="0.45">
      <c r="A156">
        <v>1155</v>
      </c>
      <c r="B156" s="1">
        <v>46064</v>
      </c>
      <c r="C156" t="s">
        <v>72</v>
      </c>
      <c r="D156" t="s">
        <v>23</v>
      </c>
      <c r="E156" t="s">
        <v>42</v>
      </c>
      <c r="F156" t="s">
        <v>25</v>
      </c>
      <c r="G156" t="s">
        <v>45</v>
      </c>
      <c r="H156">
        <v>5</v>
      </c>
      <c r="I156" s="6">
        <v>950</v>
      </c>
      <c r="J156">
        <v>0</v>
      </c>
      <c r="K156" s="6">
        <v>4750</v>
      </c>
      <c r="L156" s="6">
        <v>3426.75</v>
      </c>
      <c r="M156" s="6">
        <v>1323.25</v>
      </c>
      <c r="N156" t="s">
        <v>34</v>
      </c>
    </row>
    <row r="157" spans="1:14" x14ac:dyDescent="0.45">
      <c r="A157">
        <v>1156</v>
      </c>
      <c r="B157" s="1">
        <v>46065</v>
      </c>
      <c r="C157" t="s">
        <v>101</v>
      </c>
      <c r="D157" t="s">
        <v>28</v>
      </c>
      <c r="E157" t="s">
        <v>42</v>
      </c>
      <c r="F157" t="s">
        <v>30</v>
      </c>
      <c r="G157" t="s">
        <v>37</v>
      </c>
      <c r="H157">
        <v>4</v>
      </c>
      <c r="I157" s="6">
        <v>850</v>
      </c>
      <c r="J157">
        <v>0.1</v>
      </c>
      <c r="K157" s="6">
        <v>3060</v>
      </c>
      <c r="L157" s="6">
        <v>1751.97</v>
      </c>
      <c r="M157" s="6">
        <v>1308.03</v>
      </c>
      <c r="N157" t="s">
        <v>19</v>
      </c>
    </row>
    <row r="158" spans="1:14" x14ac:dyDescent="0.45">
      <c r="A158">
        <v>1157</v>
      </c>
      <c r="B158" s="1">
        <v>46066</v>
      </c>
      <c r="C158" t="s">
        <v>81</v>
      </c>
      <c r="D158" t="s">
        <v>15</v>
      </c>
      <c r="E158" t="s">
        <v>42</v>
      </c>
      <c r="F158" t="s">
        <v>30</v>
      </c>
      <c r="G158" t="s">
        <v>31</v>
      </c>
      <c r="H158">
        <v>5</v>
      </c>
      <c r="I158" s="6">
        <v>240</v>
      </c>
      <c r="J158">
        <v>0.05</v>
      </c>
      <c r="K158" s="6">
        <v>1140</v>
      </c>
      <c r="L158" s="6">
        <v>980.64</v>
      </c>
      <c r="M158" s="6">
        <v>159.36000000000001</v>
      </c>
      <c r="N158" t="s">
        <v>34</v>
      </c>
    </row>
    <row r="159" spans="1:14" x14ac:dyDescent="0.45">
      <c r="A159">
        <v>1158</v>
      </c>
      <c r="B159" s="1">
        <v>46067</v>
      </c>
      <c r="C159" t="s">
        <v>69</v>
      </c>
      <c r="D159" t="s">
        <v>23</v>
      </c>
      <c r="E159" t="s">
        <v>29</v>
      </c>
      <c r="F159" t="s">
        <v>25</v>
      </c>
      <c r="G159" t="s">
        <v>45</v>
      </c>
      <c r="H159">
        <v>3</v>
      </c>
      <c r="I159" s="6">
        <v>1820</v>
      </c>
      <c r="J159">
        <v>0.15</v>
      </c>
      <c r="K159" s="6">
        <v>4641</v>
      </c>
      <c r="L159" s="6">
        <v>3406.59</v>
      </c>
      <c r="M159" s="6">
        <v>1234.4100000000001</v>
      </c>
      <c r="N159" t="s">
        <v>19</v>
      </c>
    </row>
    <row r="160" spans="1:14" x14ac:dyDescent="0.45">
      <c r="A160">
        <v>1159</v>
      </c>
      <c r="B160" s="1">
        <v>46068</v>
      </c>
      <c r="C160" t="s">
        <v>52</v>
      </c>
      <c r="D160" t="s">
        <v>21</v>
      </c>
      <c r="E160" t="s">
        <v>42</v>
      </c>
      <c r="F160" t="s">
        <v>30</v>
      </c>
      <c r="G160" t="s">
        <v>31</v>
      </c>
      <c r="H160">
        <v>1</v>
      </c>
      <c r="I160" s="6">
        <v>1030</v>
      </c>
      <c r="J160">
        <v>0.15</v>
      </c>
      <c r="K160" s="6">
        <v>875.5</v>
      </c>
      <c r="L160" s="6">
        <v>493.35</v>
      </c>
      <c r="M160" s="6">
        <v>382.15</v>
      </c>
      <c r="N160" t="s">
        <v>34</v>
      </c>
    </row>
    <row r="161" spans="1:14" x14ac:dyDescent="0.45">
      <c r="A161">
        <v>1160</v>
      </c>
      <c r="B161" s="1">
        <v>46069</v>
      </c>
      <c r="C161" t="s">
        <v>22</v>
      </c>
      <c r="D161" t="s">
        <v>15</v>
      </c>
      <c r="E161" t="s">
        <v>16</v>
      </c>
      <c r="F161" t="s">
        <v>25</v>
      </c>
      <c r="G161" t="s">
        <v>45</v>
      </c>
      <c r="H161">
        <v>3</v>
      </c>
      <c r="I161" s="6">
        <v>330</v>
      </c>
      <c r="J161">
        <v>0</v>
      </c>
      <c r="K161" s="6">
        <v>990</v>
      </c>
      <c r="L161" s="6">
        <v>720.16</v>
      </c>
      <c r="M161" s="6">
        <v>269.83999999999997</v>
      </c>
      <c r="N161" t="s">
        <v>19</v>
      </c>
    </row>
    <row r="162" spans="1:14" x14ac:dyDescent="0.45">
      <c r="A162">
        <v>1161</v>
      </c>
      <c r="B162" s="1">
        <v>46070</v>
      </c>
      <c r="C162" t="s">
        <v>79</v>
      </c>
      <c r="D162" t="s">
        <v>15</v>
      </c>
      <c r="E162" t="s">
        <v>29</v>
      </c>
      <c r="F162" t="s">
        <v>30</v>
      </c>
      <c r="G162" t="s">
        <v>31</v>
      </c>
      <c r="H162">
        <v>2</v>
      </c>
      <c r="I162" s="6">
        <v>1070</v>
      </c>
      <c r="J162">
        <v>0.1</v>
      </c>
      <c r="K162" s="6">
        <v>1926</v>
      </c>
      <c r="L162" s="6">
        <v>1306.71</v>
      </c>
      <c r="M162" s="6">
        <v>619.29</v>
      </c>
      <c r="N162" t="s">
        <v>34</v>
      </c>
    </row>
    <row r="163" spans="1:14" x14ac:dyDescent="0.45">
      <c r="A163">
        <v>1162</v>
      </c>
      <c r="B163" s="1">
        <v>46071</v>
      </c>
      <c r="C163" t="s">
        <v>49</v>
      </c>
      <c r="D163" t="s">
        <v>40</v>
      </c>
      <c r="E163" t="s">
        <v>42</v>
      </c>
      <c r="F163" t="s">
        <v>25</v>
      </c>
      <c r="G163" t="s">
        <v>45</v>
      </c>
      <c r="H163">
        <v>2</v>
      </c>
      <c r="I163" s="6">
        <v>1830</v>
      </c>
      <c r="J163">
        <v>0.05</v>
      </c>
      <c r="K163" s="6">
        <v>3477</v>
      </c>
      <c r="L163" s="6">
        <v>1811.61</v>
      </c>
      <c r="M163" s="6">
        <v>1665.39</v>
      </c>
      <c r="N163" t="s">
        <v>34</v>
      </c>
    </row>
    <row r="164" spans="1:14" x14ac:dyDescent="0.45">
      <c r="A164">
        <v>1163</v>
      </c>
      <c r="B164" s="1">
        <v>46072</v>
      </c>
      <c r="C164" t="s">
        <v>82</v>
      </c>
      <c r="D164" t="s">
        <v>15</v>
      </c>
      <c r="E164" t="s">
        <v>42</v>
      </c>
      <c r="F164" t="s">
        <v>30</v>
      </c>
      <c r="G164" t="s">
        <v>31</v>
      </c>
      <c r="H164">
        <v>5</v>
      </c>
      <c r="I164" s="6">
        <v>1180</v>
      </c>
      <c r="J164">
        <v>0.15</v>
      </c>
      <c r="K164" s="6">
        <v>5015</v>
      </c>
      <c r="L164" s="6">
        <v>3554.54</v>
      </c>
      <c r="M164" s="6">
        <v>1460.46</v>
      </c>
      <c r="N164" t="s">
        <v>19</v>
      </c>
    </row>
    <row r="165" spans="1:14" x14ac:dyDescent="0.45">
      <c r="A165">
        <v>1164</v>
      </c>
      <c r="B165" s="1">
        <v>46073</v>
      </c>
      <c r="C165" t="s">
        <v>57</v>
      </c>
      <c r="D165" t="s">
        <v>21</v>
      </c>
      <c r="E165" t="s">
        <v>24</v>
      </c>
      <c r="F165" t="s">
        <v>30</v>
      </c>
      <c r="G165" t="s">
        <v>31</v>
      </c>
      <c r="H165">
        <v>1</v>
      </c>
      <c r="I165" s="6">
        <v>1300</v>
      </c>
      <c r="J165">
        <v>0.1</v>
      </c>
      <c r="K165" s="6">
        <v>1170</v>
      </c>
      <c r="L165" s="6">
        <v>602.79999999999995</v>
      </c>
      <c r="M165" s="6">
        <v>567.20000000000005</v>
      </c>
      <c r="N165" t="s">
        <v>19</v>
      </c>
    </row>
    <row r="166" spans="1:14" x14ac:dyDescent="0.45">
      <c r="A166">
        <v>1165</v>
      </c>
      <c r="B166" s="1">
        <v>46074</v>
      </c>
      <c r="C166" t="s">
        <v>84</v>
      </c>
      <c r="D166" t="s">
        <v>21</v>
      </c>
      <c r="E166" t="s">
        <v>24</v>
      </c>
      <c r="F166" t="s">
        <v>30</v>
      </c>
      <c r="G166" t="s">
        <v>31</v>
      </c>
      <c r="H166">
        <v>5</v>
      </c>
      <c r="I166" s="6">
        <v>1430</v>
      </c>
      <c r="J166">
        <v>0.05</v>
      </c>
      <c r="K166" s="6">
        <v>6792.5</v>
      </c>
      <c r="L166" s="6">
        <v>3973.6</v>
      </c>
      <c r="M166" s="6">
        <v>2818.9</v>
      </c>
      <c r="N166" t="s">
        <v>32</v>
      </c>
    </row>
    <row r="167" spans="1:14" x14ac:dyDescent="0.45">
      <c r="A167">
        <v>1166</v>
      </c>
      <c r="B167" s="1">
        <v>46075</v>
      </c>
      <c r="C167" t="s">
        <v>58</v>
      </c>
      <c r="D167" t="s">
        <v>23</v>
      </c>
      <c r="E167" t="s">
        <v>16</v>
      </c>
      <c r="F167" t="s">
        <v>30</v>
      </c>
      <c r="G167" t="s">
        <v>37</v>
      </c>
      <c r="H167">
        <v>2</v>
      </c>
      <c r="I167" s="6">
        <v>1140</v>
      </c>
      <c r="J167">
        <v>0.15</v>
      </c>
      <c r="K167" s="6">
        <v>1938</v>
      </c>
      <c r="L167" s="6">
        <v>1658.98</v>
      </c>
      <c r="M167" s="6">
        <v>279.02</v>
      </c>
      <c r="N167" t="s">
        <v>19</v>
      </c>
    </row>
    <row r="168" spans="1:14" x14ac:dyDescent="0.45">
      <c r="A168">
        <v>1167</v>
      </c>
      <c r="B168" s="1">
        <v>46076</v>
      </c>
      <c r="C168" t="s">
        <v>88</v>
      </c>
      <c r="D168" t="s">
        <v>23</v>
      </c>
      <c r="E168" t="s">
        <v>42</v>
      </c>
      <c r="F168" t="s">
        <v>17</v>
      </c>
      <c r="G168" t="s">
        <v>18</v>
      </c>
      <c r="H168">
        <v>4</v>
      </c>
      <c r="I168" s="6">
        <v>1430</v>
      </c>
      <c r="J168">
        <v>0</v>
      </c>
      <c r="K168" s="6">
        <v>5720</v>
      </c>
      <c r="L168" s="6">
        <v>3951.91</v>
      </c>
      <c r="M168" s="6">
        <v>1768.09</v>
      </c>
      <c r="N168" t="s">
        <v>34</v>
      </c>
    </row>
    <row r="169" spans="1:14" x14ac:dyDescent="0.45">
      <c r="A169">
        <v>1168</v>
      </c>
      <c r="B169" s="1">
        <v>46077</v>
      </c>
      <c r="C169" t="s">
        <v>90</v>
      </c>
      <c r="D169" t="s">
        <v>28</v>
      </c>
      <c r="E169" t="s">
        <v>24</v>
      </c>
      <c r="F169" t="s">
        <v>25</v>
      </c>
      <c r="G169" t="s">
        <v>45</v>
      </c>
      <c r="H169">
        <v>2</v>
      </c>
      <c r="I169" s="6">
        <v>1970</v>
      </c>
      <c r="J169">
        <v>0.15</v>
      </c>
      <c r="K169" s="6">
        <v>3349</v>
      </c>
      <c r="L169" s="6">
        <v>2924.73</v>
      </c>
      <c r="M169" s="6">
        <v>424.27</v>
      </c>
      <c r="N169" t="s">
        <v>19</v>
      </c>
    </row>
    <row r="170" spans="1:14" x14ac:dyDescent="0.45">
      <c r="A170">
        <v>1169</v>
      </c>
      <c r="B170" s="1">
        <v>46078</v>
      </c>
      <c r="C170" t="s">
        <v>102</v>
      </c>
      <c r="D170" t="s">
        <v>28</v>
      </c>
      <c r="E170" t="s">
        <v>24</v>
      </c>
      <c r="F170" t="s">
        <v>30</v>
      </c>
      <c r="G170" t="s">
        <v>31</v>
      </c>
      <c r="H170">
        <v>4</v>
      </c>
      <c r="I170" s="6">
        <v>1700</v>
      </c>
      <c r="J170">
        <v>0.05</v>
      </c>
      <c r="K170" s="6">
        <v>6460</v>
      </c>
      <c r="L170" s="6">
        <v>4028.03</v>
      </c>
      <c r="M170" s="6">
        <v>2431.9699999999998</v>
      </c>
      <c r="N170" t="s">
        <v>32</v>
      </c>
    </row>
    <row r="171" spans="1:14" x14ac:dyDescent="0.45">
      <c r="A171">
        <v>1170</v>
      </c>
      <c r="B171" s="1">
        <v>46079</v>
      </c>
      <c r="C171" t="s">
        <v>35</v>
      </c>
      <c r="D171" t="s">
        <v>15</v>
      </c>
      <c r="E171" t="s">
        <v>16</v>
      </c>
      <c r="F171" t="s">
        <v>25</v>
      </c>
      <c r="G171" t="s">
        <v>45</v>
      </c>
      <c r="H171">
        <v>5</v>
      </c>
      <c r="I171" s="6">
        <v>1510</v>
      </c>
      <c r="J171">
        <v>0.05</v>
      </c>
      <c r="K171" s="6">
        <v>7172.5</v>
      </c>
      <c r="L171" s="6">
        <v>5582.18</v>
      </c>
      <c r="M171" s="6">
        <v>1590.32</v>
      </c>
      <c r="N171" t="s">
        <v>34</v>
      </c>
    </row>
    <row r="172" spans="1:14" x14ac:dyDescent="0.45">
      <c r="A172">
        <v>1171</v>
      </c>
      <c r="B172" s="1">
        <v>46080</v>
      </c>
      <c r="C172" t="s">
        <v>79</v>
      </c>
      <c r="D172" t="s">
        <v>23</v>
      </c>
      <c r="E172" t="s">
        <v>42</v>
      </c>
      <c r="F172" t="s">
        <v>30</v>
      </c>
      <c r="G172" t="s">
        <v>31</v>
      </c>
      <c r="H172">
        <v>2</v>
      </c>
      <c r="I172" s="6">
        <v>940</v>
      </c>
      <c r="J172">
        <v>0.05</v>
      </c>
      <c r="K172" s="6">
        <v>1786</v>
      </c>
      <c r="L172" s="6">
        <v>1085.03</v>
      </c>
      <c r="M172" s="6">
        <v>700.97</v>
      </c>
      <c r="N172" t="s">
        <v>19</v>
      </c>
    </row>
    <row r="173" spans="1:14" x14ac:dyDescent="0.45">
      <c r="A173">
        <v>1172</v>
      </c>
      <c r="B173" s="1">
        <v>46081</v>
      </c>
      <c r="C173" t="s">
        <v>103</v>
      </c>
      <c r="D173" t="s">
        <v>23</v>
      </c>
      <c r="E173" t="s">
        <v>24</v>
      </c>
      <c r="F173" t="s">
        <v>17</v>
      </c>
      <c r="G173" t="s">
        <v>18</v>
      </c>
      <c r="H173">
        <v>3</v>
      </c>
      <c r="I173" s="6">
        <v>460</v>
      </c>
      <c r="J173">
        <v>0</v>
      </c>
      <c r="K173" s="6">
        <v>1380</v>
      </c>
      <c r="L173" s="6">
        <v>980.6</v>
      </c>
      <c r="M173" s="6">
        <v>399.4</v>
      </c>
      <c r="N173" t="s">
        <v>19</v>
      </c>
    </row>
    <row r="174" spans="1:14" x14ac:dyDescent="0.45">
      <c r="A174">
        <v>1173</v>
      </c>
      <c r="B174" s="1">
        <v>46082</v>
      </c>
      <c r="C174" t="s">
        <v>104</v>
      </c>
      <c r="D174" t="s">
        <v>28</v>
      </c>
      <c r="E174" t="s">
        <v>29</v>
      </c>
      <c r="F174" t="s">
        <v>25</v>
      </c>
      <c r="G174" t="s">
        <v>45</v>
      </c>
      <c r="H174">
        <v>3</v>
      </c>
      <c r="I174" s="6">
        <v>1070</v>
      </c>
      <c r="J174">
        <v>0.15</v>
      </c>
      <c r="K174" s="6">
        <v>2728.5</v>
      </c>
      <c r="L174" s="6">
        <v>2179.73</v>
      </c>
      <c r="M174" s="6">
        <v>548.77</v>
      </c>
      <c r="N174" t="s">
        <v>19</v>
      </c>
    </row>
    <row r="175" spans="1:14" x14ac:dyDescent="0.45">
      <c r="A175">
        <v>1174</v>
      </c>
      <c r="B175" s="1">
        <v>46083</v>
      </c>
      <c r="C175" t="s">
        <v>41</v>
      </c>
      <c r="D175" t="s">
        <v>40</v>
      </c>
      <c r="E175" t="s">
        <v>16</v>
      </c>
      <c r="F175" t="s">
        <v>17</v>
      </c>
      <c r="G175" t="s">
        <v>44</v>
      </c>
      <c r="H175">
        <v>4</v>
      </c>
      <c r="I175" s="6">
        <v>1910</v>
      </c>
      <c r="J175">
        <v>0.15</v>
      </c>
      <c r="K175" s="6">
        <v>6494</v>
      </c>
      <c r="L175" s="6">
        <v>5099.8</v>
      </c>
      <c r="M175" s="6">
        <v>1394.2</v>
      </c>
      <c r="N175" t="s">
        <v>32</v>
      </c>
    </row>
    <row r="176" spans="1:14" x14ac:dyDescent="0.45">
      <c r="A176">
        <v>1175</v>
      </c>
      <c r="B176" s="1">
        <v>46084</v>
      </c>
      <c r="C176" t="s">
        <v>81</v>
      </c>
      <c r="D176" t="s">
        <v>23</v>
      </c>
      <c r="E176" t="s">
        <v>24</v>
      </c>
      <c r="F176" t="s">
        <v>17</v>
      </c>
      <c r="G176" t="s">
        <v>44</v>
      </c>
      <c r="H176">
        <v>1</v>
      </c>
      <c r="I176" s="6">
        <v>720</v>
      </c>
      <c r="J176">
        <v>0.15</v>
      </c>
      <c r="K176" s="6">
        <v>612</v>
      </c>
      <c r="L176" s="6">
        <v>369.5</v>
      </c>
      <c r="M176" s="6">
        <v>242.5</v>
      </c>
      <c r="N176" t="s">
        <v>19</v>
      </c>
    </row>
    <row r="177" spans="1:14" x14ac:dyDescent="0.45">
      <c r="A177">
        <v>1176</v>
      </c>
      <c r="B177" s="1">
        <v>46085</v>
      </c>
      <c r="C177" t="s">
        <v>47</v>
      </c>
      <c r="D177" t="s">
        <v>15</v>
      </c>
      <c r="E177" t="s">
        <v>29</v>
      </c>
      <c r="F177" t="s">
        <v>17</v>
      </c>
      <c r="G177" t="s">
        <v>44</v>
      </c>
      <c r="H177">
        <v>1</v>
      </c>
      <c r="I177" s="6">
        <v>330</v>
      </c>
      <c r="J177">
        <v>0.05</v>
      </c>
      <c r="K177" s="6">
        <v>313.5</v>
      </c>
      <c r="L177" s="6">
        <v>211.72</v>
      </c>
      <c r="M177" s="6">
        <v>101.78</v>
      </c>
      <c r="N177" t="s">
        <v>32</v>
      </c>
    </row>
    <row r="178" spans="1:14" x14ac:dyDescent="0.45">
      <c r="A178">
        <v>1177</v>
      </c>
      <c r="B178" s="1">
        <v>46086</v>
      </c>
      <c r="C178" t="s">
        <v>105</v>
      </c>
      <c r="D178" t="s">
        <v>40</v>
      </c>
      <c r="E178" t="s">
        <v>16</v>
      </c>
      <c r="F178" t="s">
        <v>30</v>
      </c>
      <c r="G178" t="s">
        <v>37</v>
      </c>
      <c r="H178">
        <v>3</v>
      </c>
      <c r="I178" s="6">
        <v>1810</v>
      </c>
      <c r="J178">
        <v>0.05</v>
      </c>
      <c r="K178" s="6">
        <v>5158.5</v>
      </c>
      <c r="L178" s="6">
        <v>3989.76</v>
      </c>
      <c r="M178" s="6">
        <v>1168.74</v>
      </c>
      <c r="N178" t="s">
        <v>32</v>
      </c>
    </row>
    <row r="179" spans="1:14" x14ac:dyDescent="0.45">
      <c r="A179">
        <v>1178</v>
      </c>
      <c r="B179" s="1">
        <v>46087</v>
      </c>
      <c r="C179" t="s">
        <v>81</v>
      </c>
      <c r="D179" t="s">
        <v>15</v>
      </c>
      <c r="E179" t="s">
        <v>16</v>
      </c>
      <c r="F179" t="s">
        <v>17</v>
      </c>
      <c r="G179" t="s">
        <v>18</v>
      </c>
      <c r="H179">
        <v>4</v>
      </c>
      <c r="I179" s="6">
        <v>830</v>
      </c>
      <c r="J179">
        <v>0.1</v>
      </c>
      <c r="K179" s="6">
        <v>2988</v>
      </c>
      <c r="L179" s="6">
        <v>2681.63</v>
      </c>
      <c r="M179" s="6">
        <v>306.37</v>
      </c>
      <c r="N179" t="s">
        <v>32</v>
      </c>
    </row>
    <row r="180" spans="1:14" x14ac:dyDescent="0.45">
      <c r="A180">
        <v>1179</v>
      </c>
      <c r="B180" s="1">
        <v>46088</v>
      </c>
      <c r="C180" t="s">
        <v>70</v>
      </c>
      <c r="D180" t="s">
        <v>15</v>
      </c>
      <c r="E180" t="s">
        <v>24</v>
      </c>
      <c r="F180" t="s">
        <v>30</v>
      </c>
      <c r="G180" t="s">
        <v>37</v>
      </c>
      <c r="H180">
        <v>4</v>
      </c>
      <c r="I180" s="6">
        <v>1380</v>
      </c>
      <c r="J180">
        <v>0.15</v>
      </c>
      <c r="K180" s="6">
        <v>4692</v>
      </c>
      <c r="L180" s="6">
        <v>2775.58</v>
      </c>
      <c r="M180" s="6">
        <v>1916.42</v>
      </c>
      <c r="N180" t="s">
        <v>34</v>
      </c>
    </row>
    <row r="181" spans="1:14" x14ac:dyDescent="0.45">
      <c r="A181">
        <v>1180</v>
      </c>
      <c r="B181" s="1">
        <v>46089</v>
      </c>
      <c r="C181" t="s">
        <v>85</v>
      </c>
      <c r="D181" t="s">
        <v>21</v>
      </c>
      <c r="E181" t="s">
        <v>24</v>
      </c>
      <c r="F181" t="s">
        <v>25</v>
      </c>
      <c r="G181" t="s">
        <v>45</v>
      </c>
      <c r="H181">
        <v>2</v>
      </c>
      <c r="I181" s="6">
        <v>390</v>
      </c>
      <c r="J181">
        <v>0.15</v>
      </c>
      <c r="K181" s="6">
        <v>663</v>
      </c>
      <c r="L181" s="6">
        <v>396.97</v>
      </c>
      <c r="M181" s="6">
        <v>266.02999999999997</v>
      </c>
      <c r="N181" t="s">
        <v>34</v>
      </c>
    </row>
    <row r="182" spans="1:14" x14ac:dyDescent="0.45">
      <c r="A182">
        <v>1181</v>
      </c>
      <c r="B182" s="1">
        <v>46090</v>
      </c>
      <c r="C182" t="s">
        <v>22</v>
      </c>
      <c r="D182" t="s">
        <v>40</v>
      </c>
      <c r="E182" t="s">
        <v>42</v>
      </c>
      <c r="F182" t="s">
        <v>30</v>
      </c>
      <c r="G182" t="s">
        <v>31</v>
      </c>
      <c r="H182">
        <v>5</v>
      </c>
      <c r="I182" s="6">
        <v>660</v>
      </c>
      <c r="J182">
        <v>0.1</v>
      </c>
      <c r="K182" s="6">
        <v>2970</v>
      </c>
      <c r="L182" s="6">
        <v>1559.85</v>
      </c>
      <c r="M182" s="6">
        <v>1410.15</v>
      </c>
      <c r="N182" t="s">
        <v>19</v>
      </c>
    </row>
    <row r="183" spans="1:14" x14ac:dyDescent="0.45">
      <c r="A183">
        <v>1182</v>
      </c>
      <c r="B183" s="1">
        <v>46091</v>
      </c>
      <c r="C183" t="s">
        <v>90</v>
      </c>
      <c r="D183" t="s">
        <v>23</v>
      </c>
      <c r="E183" t="s">
        <v>29</v>
      </c>
      <c r="F183" t="s">
        <v>30</v>
      </c>
      <c r="G183" t="s">
        <v>37</v>
      </c>
      <c r="H183">
        <v>2</v>
      </c>
      <c r="I183" s="6">
        <v>520</v>
      </c>
      <c r="J183">
        <v>0</v>
      </c>
      <c r="K183" s="6">
        <v>1040</v>
      </c>
      <c r="L183" s="6">
        <v>899.96</v>
      </c>
      <c r="M183" s="6">
        <v>140.04</v>
      </c>
      <c r="N183" t="s">
        <v>19</v>
      </c>
    </row>
    <row r="184" spans="1:14" x14ac:dyDescent="0.45">
      <c r="A184">
        <v>1183</v>
      </c>
      <c r="B184" s="1">
        <v>46092</v>
      </c>
      <c r="C184" t="s">
        <v>47</v>
      </c>
      <c r="D184" t="s">
        <v>40</v>
      </c>
      <c r="E184" t="s">
        <v>24</v>
      </c>
      <c r="F184" t="s">
        <v>25</v>
      </c>
      <c r="G184" t="s">
        <v>26</v>
      </c>
      <c r="H184">
        <v>5</v>
      </c>
      <c r="I184" s="6">
        <v>1850</v>
      </c>
      <c r="J184">
        <v>0</v>
      </c>
      <c r="K184" s="6">
        <v>9250</v>
      </c>
      <c r="L184" s="6">
        <v>7071.75</v>
      </c>
      <c r="M184" s="6">
        <v>2178.25</v>
      </c>
      <c r="N184" t="s">
        <v>19</v>
      </c>
    </row>
    <row r="185" spans="1:14" x14ac:dyDescent="0.45">
      <c r="A185">
        <v>1184</v>
      </c>
      <c r="B185" s="1">
        <v>46093</v>
      </c>
      <c r="C185" t="s">
        <v>88</v>
      </c>
      <c r="D185" t="s">
        <v>40</v>
      </c>
      <c r="E185" t="s">
        <v>29</v>
      </c>
      <c r="F185" t="s">
        <v>25</v>
      </c>
      <c r="G185" t="s">
        <v>26</v>
      </c>
      <c r="H185">
        <v>2</v>
      </c>
      <c r="I185" s="6">
        <v>880</v>
      </c>
      <c r="J185">
        <v>0.1</v>
      </c>
      <c r="K185" s="6">
        <v>1584</v>
      </c>
      <c r="L185" s="6">
        <v>1207.1199999999999</v>
      </c>
      <c r="M185" s="6">
        <v>376.88</v>
      </c>
      <c r="N185" t="s">
        <v>32</v>
      </c>
    </row>
    <row r="186" spans="1:14" x14ac:dyDescent="0.45">
      <c r="A186">
        <v>1185</v>
      </c>
      <c r="B186" s="1">
        <v>46094</v>
      </c>
      <c r="C186" t="s">
        <v>35</v>
      </c>
      <c r="D186" t="s">
        <v>23</v>
      </c>
      <c r="E186" t="s">
        <v>42</v>
      </c>
      <c r="F186" t="s">
        <v>25</v>
      </c>
      <c r="G186" t="s">
        <v>26</v>
      </c>
      <c r="H186">
        <v>4</v>
      </c>
      <c r="I186" s="6">
        <v>330</v>
      </c>
      <c r="J186">
        <v>0.15</v>
      </c>
      <c r="K186" s="6">
        <v>1122</v>
      </c>
      <c r="L186" s="6">
        <v>883.93</v>
      </c>
      <c r="M186" s="6">
        <v>238.07</v>
      </c>
      <c r="N186" t="s">
        <v>32</v>
      </c>
    </row>
    <row r="187" spans="1:14" x14ac:dyDescent="0.45">
      <c r="A187">
        <v>1186</v>
      </c>
      <c r="B187" s="1">
        <v>46095</v>
      </c>
      <c r="C187" t="s">
        <v>55</v>
      </c>
      <c r="D187" t="s">
        <v>40</v>
      </c>
      <c r="E187" t="s">
        <v>42</v>
      </c>
      <c r="F187" t="s">
        <v>30</v>
      </c>
      <c r="G187" t="s">
        <v>31</v>
      </c>
      <c r="H187">
        <v>1</v>
      </c>
      <c r="I187" s="6">
        <v>720</v>
      </c>
      <c r="J187">
        <v>0.05</v>
      </c>
      <c r="K187" s="6">
        <v>684</v>
      </c>
      <c r="L187" s="6">
        <v>448.83</v>
      </c>
      <c r="M187" s="6">
        <v>235.17</v>
      </c>
      <c r="N187" t="s">
        <v>19</v>
      </c>
    </row>
    <row r="188" spans="1:14" x14ac:dyDescent="0.45">
      <c r="A188">
        <v>1187</v>
      </c>
      <c r="B188" s="1">
        <v>46096</v>
      </c>
      <c r="C188" t="s">
        <v>65</v>
      </c>
      <c r="D188" t="s">
        <v>40</v>
      </c>
      <c r="E188" t="s">
        <v>29</v>
      </c>
      <c r="F188" t="s">
        <v>30</v>
      </c>
      <c r="G188" t="s">
        <v>31</v>
      </c>
      <c r="H188">
        <v>5</v>
      </c>
      <c r="I188" s="6">
        <v>860</v>
      </c>
      <c r="J188">
        <v>0.05</v>
      </c>
      <c r="K188" s="6">
        <v>4085</v>
      </c>
      <c r="L188" s="6">
        <v>3099</v>
      </c>
      <c r="M188" s="6">
        <v>986</v>
      </c>
      <c r="N188" t="s">
        <v>32</v>
      </c>
    </row>
    <row r="189" spans="1:14" x14ac:dyDescent="0.45">
      <c r="A189">
        <v>1188</v>
      </c>
      <c r="B189" s="1">
        <v>46097</v>
      </c>
      <c r="C189" t="s">
        <v>102</v>
      </c>
      <c r="D189" t="s">
        <v>23</v>
      </c>
      <c r="E189" t="s">
        <v>16</v>
      </c>
      <c r="F189" t="s">
        <v>25</v>
      </c>
      <c r="G189" t="s">
        <v>26</v>
      </c>
      <c r="H189">
        <v>4</v>
      </c>
      <c r="I189" s="6">
        <v>1380</v>
      </c>
      <c r="J189">
        <v>0.1</v>
      </c>
      <c r="K189" s="6">
        <v>4968</v>
      </c>
      <c r="L189" s="6">
        <v>3712.66</v>
      </c>
      <c r="M189" s="6">
        <v>1255.3399999999999</v>
      </c>
      <c r="N189" t="s">
        <v>34</v>
      </c>
    </row>
    <row r="190" spans="1:14" x14ac:dyDescent="0.45">
      <c r="A190">
        <v>1189</v>
      </c>
      <c r="B190" s="1">
        <v>46098</v>
      </c>
      <c r="C190" t="s">
        <v>39</v>
      </c>
      <c r="D190" t="s">
        <v>23</v>
      </c>
      <c r="E190" t="s">
        <v>24</v>
      </c>
      <c r="F190" t="s">
        <v>30</v>
      </c>
      <c r="G190" t="s">
        <v>31</v>
      </c>
      <c r="H190">
        <v>1</v>
      </c>
      <c r="I190" s="6">
        <v>1590</v>
      </c>
      <c r="J190">
        <v>0</v>
      </c>
      <c r="K190" s="6">
        <v>1590</v>
      </c>
      <c r="L190" s="6">
        <v>1014.52</v>
      </c>
      <c r="M190" s="6">
        <v>575.48</v>
      </c>
      <c r="N190" t="s">
        <v>19</v>
      </c>
    </row>
    <row r="191" spans="1:14" x14ac:dyDescent="0.45">
      <c r="A191">
        <v>1190</v>
      </c>
      <c r="B191" s="1">
        <v>46099</v>
      </c>
      <c r="C191" t="s">
        <v>59</v>
      </c>
      <c r="D191" t="s">
        <v>15</v>
      </c>
      <c r="E191" t="s">
        <v>42</v>
      </c>
      <c r="F191" t="s">
        <v>17</v>
      </c>
      <c r="G191" t="s">
        <v>44</v>
      </c>
      <c r="H191">
        <v>5</v>
      </c>
      <c r="I191" s="6">
        <v>1560</v>
      </c>
      <c r="J191">
        <v>0.05</v>
      </c>
      <c r="K191" s="6">
        <v>7410</v>
      </c>
      <c r="L191" s="6">
        <v>4175.32</v>
      </c>
      <c r="M191" s="6">
        <v>3234.68</v>
      </c>
      <c r="N191" t="s">
        <v>19</v>
      </c>
    </row>
    <row r="192" spans="1:14" x14ac:dyDescent="0.45">
      <c r="A192">
        <v>1191</v>
      </c>
      <c r="B192" s="1">
        <v>46100</v>
      </c>
      <c r="C192" t="s">
        <v>77</v>
      </c>
      <c r="D192" t="s">
        <v>40</v>
      </c>
      <c r="E192" t="s">
        <v>16</v>
      </c>
      <c r="F192" t="s">
        <v>25</v>
      </c>
      <c r="G192" t="s">
        <v>45</v>
      </c>
      <c r="H192">
        <v>1</v>
      </c>
      <c r="I192" s="6">
        <v>630</v>
      </c>
      <c r="J192">
        <v>0.15</v>
      </c>
      <c r="K192" s="6">
        <v>535.5</v>
      </c>
      <c r="L192" s="6">
        <v>294.31</v>
      </c>
      <c r="M192" s="6">
        <v>241.19</v>
      </c>
      <c r="N192" t="s">
        <v>32</v>
      </c>
    </row>
    <row r="193" spans="1:14" x14ac:dyDescent="0.45">
      <c r="A193">
        <v>1192</v>
      </c>
      <c r="B193" s="1">
        <v>46101</v>
      </c>
      <c r="C193" t="s">
        <v>78</v>
      </c>
      <c r="D193" t="s">
        <v>40</v>
      </c>
      <c r="E193" t="s">
        <v>42</v>
      </c>
      <c r="F193" t="s">
        <v>17</v>
      </c>
      <c r="G193" t="s">
        <v>18</v>
      </c>
      <c r="H193">
        <v>4</v>
      </c>
      <c r="I193" s="6">
        <v>270</v>
      </c>
      <c r="J193">
        <v>0.1</v>
      </c>
      <c r="K193" s="6">
        <v>972</v>
      </c>
      <c r="L193" s="6">
        <v>781.83</v>
      </c>
      <c r="M193" s="6">
        <v>190.17</v>
      </c>
      <c r="N193" t="s">
        <v>19</v>
      </c>
    </row>
    <row r="194" spans="1:14" x14ac:dyDescent="0.45">
      <c r="A194">
        <v>1193</v>
      </c>
      <c r="B194" s="1">
        <v>46102</v>
      </c>
      <c r="C194" t="s">
        <v>103</v>
      </c>
      <c r="D194" t="s">
        <v>23</v>
      </c>
      <c r="E194" t="s">
        <v>16</v>
      </c>
      <c r="F194" t="s">
        <v>25</v>
      </c>
      <c r="G194" t="s">
        <v>26</v>
      </c>
      <c r="H194">
        <v>2</v>
      </c>
      <c r="I194" s="6">
        <v>800</v>
      </c>
      <c r="J194">
        <v>0.05</v>
      </c>
      <c r="K194" s="6">
        <v>1520</v>
      </c>
      <c r="L194" s="6">
        <v>1294.4000000000001</v>
      </c>
      <c r="M194" s="6">
        <v>225.6</v>
      </c>
      <c r="N194" t="s">
        <v>32</v>
      </c>
    </row>
    <row r="195" spans="1:14" x14ac:dyDescent="0.45">
      <c r="A195">
        <v>1194</v>
      </c>
      <c r="B195" s="1">
        <v>46103</v>
      </c>
      <c r="C195" t="s">
        <v>80</v>
      </c>
      <c r="D195" t="s">
        <v>21</v>
      </c>
      <c r="E195" t="s">
        <v>42</v>
      </c>
      <c r="F195" t="s">
        <v>17</v>
      </c>
      <c r="G195" t="s">
        <v>44</v>
      </c>
      <c r="H195">
        <v>2</v>
      </c>
      <c r="I195" s="6">
        <v>660</v>
      </c>
      <c r="J195">
        <v>0</v>
      </c>
      <c r="K195" s="6">
        <v>1320</v>
      </c>
      <c r="L195" s="6">
        <v>1038.6600000000001</v>
      </c>
      <c r="M195" s="6">
        <v>281.33999999999997</v>
      </c>
      <c r="N195" t="s">
        <v>19</v>
      </c>
    </row>
    <row r="196" spans="1:14" x14ac:dyDescent="0.45">
      <c r="A196">
        <v>1195</v>
      </c>
      <c r="B196" s="1">
        <v>46104</v>
      </c>
      <c r="C196" t="s">
        <v>81</v>
      </c>
      <c r="D196" t="s">
        <v>40</v>
      </c>
      <c r="E196" t="s">
        <v>29</v>
      </c>
      <c r="F196" t="s">
        <v>30</v>
      </c>
      <c r="G196" t="s">
        <v>31</v>
      </c>
      <c r="H196">
        <v>5</v>
      </c>
      <c r="I196" s="6">
        <v>1040</v>
      </c>
      <c r="J196">
        <v>0.05</v>
      </c>
      <c r="K196" s="6">
        <v>4940</v>
      </c>
      <c r="L196" s="6">
        <v>2702.97</v>
      </c>
      <c r="M196" s="6">
        <v>2237.0300000000002</v>
      </c>
      <c r="N196" t="s">
        <v>34</v>
      </c>
    </row>
    <row r="197" spans="1:14" x14ac:dyDescent="0.45">
      <c r="A197">
        <v>1196</v>
      </c>
      <c r="B197" s="1">
        <v>46105</v>
      </c>
      <c r="C197" t="s">
        <v>61</v>
      </c>
      <c r="D197" t="s">
        <v>21</v>
      </c>
      <c r="E197" t="s">
        <v>16</v>
      </c>
      <c r="F197" t="s">
        <v>30</v>
      </c>
      <c r="G197" t="s">
        <v>31</v>
      </c>
      <c r="H197">
        <v>2</v>
      </c>
      <c r="I197" s="6">
        <v>980</v>
      </c>
      <c r="J197">
        <v>0.1</v>
      </c>
      <c r="K197" s="6">
        <v>1764</v>
      </c>
      <c r="L197" s="6">
        <v>1068.03</v>
      </c>
      <c r="M197" s="6">
        <v>695.97</v>
      </c>
      <c r="N197" t="s">
        <v>34</v>
      </c>
    </row>
    <row r="198" spans="1:14" x14ac:dyDescent="0.45">
      <c r="A198">
        <v>1197</v>
      </c>
      <c r="B198" s="1">
        <v>46106</v>
      </c>
      <c r="C198" t="s">
        <v>94</v>
      </c>
      <c r="D198" t="s">
        <v>40</v>
      </c>
      <c r="E198" t="s">
        <v>29</v>
      </c>
      <c r="F198" t="s">
        <v>17</v>
      </c>
      <c r="G198" t="s">
        <v>44</v>
      </c>
      <c r="H198">
        <v>1</v>
      </c>
      <c r="I198" s="6">
        <v>1650</v>
      </c>
      <c r="J198">
        <v>0.05</v>
      </c>
      <c r="K198" s="6">
        <v>1567.5</v>
      </c>
      <c r="L198" s="6">
        <v>983.74</v>
      </c>
      <c r="M198" s="6">
        <v>583.76</v>
      </c>
      <c r="N198" t="s">
        <v>34</v>
      </c>
    </row>
    <row r="199" spans="1:14" x14ac:dyDescent="0.45">
      <c r="A199">
        <v>1198</v>
      </c>
      <c r="B199" s="1">
        <v>46107</v>
      </c>
      <c r="C199" t="s">
        <v>72</v>
      </c>
      <c r="D199" t="s">
        <v>28</v>
      </c>
      <c r="E199" t="s">
        <v>42</v>
      </c>
      <c r="F199" t="s">
        <v>25</v>
      </c>
      <c r="G199" t="s">
        <v>45</v>
      </c>
      <c r="H199">
        <v>3</v>
      </c>
      <c r="I199" s="6">
        <v>280</v>
      </c>
      <c r="J199">
        <v>0.05</v>
      </c>
      <c r="K199" s="6">
        <v>798</v>
      </c>
      <c r="L199" s="6">
        <v>420.9</v>
      </c>
      <c r="M199" s="6">
        <v>377.1</v>
      </c>
      <c r="N199" t="s">
        <v>19</v>
      </c>
    </row>
    <row r="200" spans="1:14" x14ac:dyDescent="0.45">
      <c r="A200">
        <v>1199</v>
      </c>
      <c r="B200" s="1">
        <v>46108</v>
      </c>
      <c r="C200" t="s">
        <v>68</v>
      </c>
      <c r="D200" t="s">
        <v>40</v>
      </c>
      <c r="E200" t="s">
        <v>24</v>
      </c>
      <c r="F200" t="s">
        <v>30</v>
      </c>
      <c r="G200" t="s">
        <v>31</v>
      </c>
      <c r="H200">
        <v>1</v>
      </c>
      <c r="I200" s="6">
        <v>380</v>
      </c>
      <c r="J200">
        <v>0.1</v>
      </c>
      <c r="K200" s="6">
        <v>342</v>
      </c>
      <c r="L200" s="6">
        <v>241.47</v>
      </c>
      <c r="M200" s="6">
        <v>100.53</v>
      </c>
      <c r="N200" t="s">
        <v>34</v>
      </c>
    </row>
    <row r="201" spans="1:14" x14ac:dyDescent="0.45">
      <c r="A201">
        <v>1200</v>
      </c>
      <c r="B201" s="1">
        <v>46109</v>
      </c>
      <c r="C201" t="s">
        <v>106</v>
      </c>
      <c r="D201" t="s">
        <v>23</v>
      </c>
      <c r="E201" t="s">
        <v>29</v>
      </c>
      <c r="F201" t="s">
        <v>17</v>
      </c>
      <c r="G201" t="s">
        <v>18</v>
      </c>
      <c r="H201">
        <v>4</v>
      </c>
      <c r="I201" s="6">
        <v>760</v>
      </c>
      <c r="J201">
        <v>0.05</v>
      </c>
      <c r="K201" s="6">
        <v>2888</v>
      </c>
      <c r="L201" s="6">
        <v>1927.9</v>
      </c>
      <c r="M201" s="6">
        <v>960.1</v>
      </c>
      <c r="N201" t="s">
        <v>19</v>
      </c>
    </row>
    <row r="202" spans="1:14" x14ac:dyDescent="0.45">
      <c r="A202">
        <v>1201</v>
      </c>
      <c r="B202" s="1">
        <v>46110</v>
      </c>
      <c r="C202" t="s">
        <v>107</v>
      </c>
      <c r="D202" t="s">
        <v>21</v>
      </c>
      <c r="E202" t="s">
        <v>16</v>
      </c>
      <c r="F202" t="s">
        <v>17</v>
      </c>
      <c r="G202" t="s">
        <v>18</v>
      </c>
      <c r="H202">
        <v>4</v>
      </c>
      <c r="I202" s="6">
        <v>1550</v>
      </c>
      <c r="J202">
        <v>0.05</v>
      </c>
      <c r="K202" s="6">
        <v>5890</v>
      </c>
      <c r="L202" s="6">
        <v>4583.7</v>
      </c>
      <c r="M202" s="6">
        <v>1306.3</v>
      </c>
      <c r="N202" t="s">
        <v>32</v>
      </c>
    </row>
    <row r="203" spans="1:14" x14ac:dyDescent="0.45">
      <c r="A203">
        <v>1202</v>
      </c>
      <c r="B203" s="1">
        <v>46111</v>
      </c>
      <c r="C203" t="s">
        <v>105</v>
      </c>
      <c r="D203" t="s">
        <v>15</v>
      </c>
      <c r="E203" t="s">
        <v>42</v>
      </c>
      <c r="F203" t="s">
        <v>17</v>
      </c>
      <c r="G203" t="s">
        <v>18</v>
      </c>
      <c r="H203">
        <v>4</v>
      </c>
      <c r="I203" s="6">
        <v>950</v>
      </c>
      <c r="J203">
        <v>0</v>
      </c>
      <c r="K203" s="6">
        <v>3800</v>
      </c>
      <c r="L203" s="6">
        <v>2751.48</v>
      </c>
      <c r="M203" s="6">
        <v>1048.52</v>
      </c>
      <c r="N203" t="s">
        <v>32</v>
      </c>
    </row>
    <row r="204" spans="1:14" x14ac:dyDescent="0.45">
      <c r="A204">
        <v>1203</v>
      </c>
      <c r="B204" s="1">
        <v>46112</v>
      </c>
      <c r="C204" t="s">
        <v>63</v>
      </c>
      <c r="D204" t="s">
        <v>23</v>
      </c>
      <c r="E204" t="s">
        <v>16</v>
      </c>
      <c r="F204" t="s">
        <v>30</v>
      </c>
      <c r="G204" t="s">
        <v>37</v>
      </c>
      <c r="H204">
        <v>1</v>
      </c>
      <c r="I204" s="6">
        <v>1650</v>
      </c>
      <c r="J204">
        <v>0.15</v>
      </c>
      <c r="K204" s="6">
        <v>1402.5</v>
      </c>
      <c r="L204" s="6">
        <v>929.86</v>
      </c>
      <c r="M204" s="6">
        <v>472.64</v>
      </c>
      <c r="N204" t="s">
        <v>34</v>
      </c>
    </row>
    <row r="205" spans="1:14" x14ac:dyDescent="0.45">
      <c r="A205">
        <v>1204</v>
      </c>
      <c r="B205" s="1">
        <v>46113</v>
      </c>
      <c r="C205" t="s">
        <v>108</v>
      </c>
      <c r="D205" t="s">
        <v>23</v>
      </c>
      <c r="E205" t="s">
        <v>24</v>
      </c>
      <c r="F205" t="s">
        <v>25</v>
      </c>
      <c r="G205" t="s">
        <v>45</v>
      </c>
      <c r="H205">
        <v>1</v>
      </c>
      <c r="I205" s="6">
        <v>1900</v>
      </c>
      <c r="J205">
        <v>0.05</v>
      </c>
      <c r="K205" s="6">
        <v>1805</v>
      </c>
      <c r="L205" s="6">
        <v>1347.24</v>
      </c>
      <c r="M205" s="6">
        <v>457.76</v>
      </c>
      <c r="N205" t="s">
        <v>19</v>
      </c>
    </row>
    <row r="206" spans="1:14" x14ac:dyDescent="0.45">
      <c r="A206">
        <v>1205</v>
      </c>
      <c r="B206" s="1">
        <v>46114</v>
      </c>
      <c r="C206" t="s">
        <v>104</v>
      </c>
      <c r="D206" t="s">
        <v>23</v>
      </c>
      <c r="E206" t="s">
        <v>42</v>
      </c>
      <c r="F206" t="s">
        <v>25</v>
      </c>
      <c r="G206" t="s">
        <v>45</v>
      </c>
      <c r="H206">
        <v>3</v>
      </c>
      <c r="I206" s="6">
        <v>1340</v>
      </c>
      <c r="J206">
        <v>0</v>
      </c>
      <c r="K206" s="6">
        <v>4020</v>
      </c>
      <c r="L206" s="6">
        <v>3422.54</v>
      </c>
      <c r="M206" s="6">
        <v>597.46</v>
      </c>
      <c r="N206" t="s">
        <v>19</v>
      </c>
    </row>
    <row r="207" spans="1:14" x14ac:dyDescent="0.45">
      <c r="A207">
        <v>1206</v>
      </c>
      <c r="B207" s="1">
        <v>46115</v>
      </c>
      <c r="C207" t="s">
        <v>109</v>
      </c>
      <c r="D207" t="s">
        <v>40</v>
      </c>
      <c r="E207" t="s">
        <v>16</v>
      </c>
      <c r="F207" t="s">
        <v>25</v>
      </c>
      <c r="G207" t="s">
        <v>26</v>
      </c>
      <c r="H207">
        <v>5</v>
      </c>
      <c r="I207" s="6">
        <v>1550</v>
      </c>
      <c r="J207">
        <v>0</v>
      </c>
      <c r="K207" s="6">
        <v>7750</v>
      </c>
      <c r="L207" s="6">
        <v>6109.97</v>
      </c>
      <c r="M207" s="6">
        <v>1640.03</v>
      </c>
      <c r="N207" t="s">
        <v>32</v>
      </c>
    </row>
    <row r="208" spans="1:14" x14ac:dyDescent="0.45">
      <c r="A208">
        <v>1207</v>
      </c>
      <c r="B208" s="1">
        <v>46116</v>
      </c>
      <c r="C208" t="s">
        <v>110</v>
      </c>
      <c r="D208" t="s">
        <v>28</v>
      </c>
      <c r="E208" t="s">
        <v>16</v>
      </c>
      <c r="F208" t="s">
        <v>30</v>
      </c>
      <c r="G208" t="s">
        <v>31</v>
      </c>
      <c r="H208">
        <v>4</v>
      </c>
      <c r="I208" s="6">
        <v>350</v>
      </c>
      <c r="J208">
        <v>0</v>
      </c>
      <c r="K208" s="6">
        <v>1400</v>
      </c>
      <c r="L208" s="6">
        <v>1123.75</v>
      </c>
      <c r="M208" s="6">
        <v>276.25</v>
      </c>
      <c r="N208" t="s">
        <v>19</v>
      </c>
    </row>
    <row r="209" spans="1:14" x14ac:dyDescent="0.45">
      <c r="A209">
        <v>1208</v>
      </c>
      <c r="B209" s="1">
        <v>46117</v>
      </c>
      <c r="C209" t="s">
        <v>96</v>
      </c>
      <c r="D209" t="s">
        <v>21</v>
      </c>
      <c r="E209" t="s">
        <v>24</v>
      </c>
      <c r="F209" t="s">
        <v>17</v>
      </c>
      <c r="G209" t="s">
        <v>44</v>
      </c>
      <c r="H209">
        <v>1</v>
      </c>
      <c r="I209" s="6">
        <v>570</v>
      </c>
      <c r="J209">
        <v>0</v>
      </c>
      <c r="K209" s="6">
        <v>570</v>
      </c>
      <c r="L209" s="6">
        <v>358.32</v>
      </c>
      <c r="M209" s="6">
        <v>211.68</v>
      </c>
      <c r="N209" t="s">
        <v>32</v>
      </c>
    </row>
    <row r="210" spans="1:14" x14ac:dyDescent="0.45">
      <c r="A210">
        <v>1209</v>
      </c>
      <c r="B210" s="1">
        <v>46118</v>
      </c>
      <c r="C210" t="s">
        <v>90</v>
      </c>
      <c r="D210" t="s">
        <v>40</v>
      </c>
      <c r="E210" t="s">
        <v>16</v>
      </c>
      <c r="F210" t="s">
        <v>30</v>
      </c>
      <c r="G210" t="s">
        <v>31</v>
      </c>
      <c r="H210">
        <v>4</v>
      </c>
      <c r="I210" s="6">
        <v>1240</v>
      </c>
      <c r="J210">
        <v>0</v>
      </c>
      <c r="K210" s="6">
        <v>4960</v>
      </c>
      <c r="L210" s="6">
        <v>3091.82</v>
      </c>
      <c r="M210" s="6">
        <v>1868.18</v>
      </c>
      <c r="N210" t="s">
        <v>32</v>
      </c>
    </row>
    <row r="211" spans="1:14" x14ac:dyDescent="0.45">
      <c r="A211">
        <v>1210</v>
      </c>
      <c r="B211" s="1">
        <v>46119</v>
      </c>
      <c r="C211" t="s">
        <v>20</v>
      </c>
      <c r="D211" t="s">
        <v>21</v>
      </c>
      <c r="E211" t="s">
        <v>29</v>
      </c>
      <c r="F211" t="s">
        <v>25</v>
      </c>
      <c r="G211" t="s">
        <v>26</v>
      </c>
      <c r="H211">
        <v>5</v>
      </c>
      <c r="I211" s="6">
        <v>270</v>
      </c>
      <c r="J211">
        <v>0.05</v>
      </c>
      <c r="K211" s="6">
        <v>1282.5</v>
      </c>
      <c r="L211" s="6">
        <v>751.78</v>
      </c>
      <c r="M211" s="6">
        <v>530.72</v>
      </c>
      <c r="N211" t="s">
        <v>32</v>
      </c>
    </row>
    <row r="212" spans="1:14" x14ac:dyDescent="0.45">
      <c r="A212">
        <v>1211</v>
      </c>
      <c r="B212" s="1">
        <v>46120</v>
      </c>
      <c r="C212" t="s">
        <v>78</v>
      </c>
      <c r="D212" t="s">
        <v>40</v>
      </c>
      <c r="E212" t="s">
        <v>16</v>
      </c>
      <c r="F212" t="s">
        <v>17</v>
      </c>
      <c r="G212" t="s">
        <v>18</v>
      </c>
      <c r="H212">
        <v>2</v>
      </c>
      <c r="I212" s="6">
        <v>1230</v>
      </c>
      <c r="J212">
        <v>0.15</v>
      </c>
      <c r="K212" s="6">
        <v>2091</v>
      </c>
      <c r="L212" s="6">
        <v>1174.73</v>
      </c>
      <c r="M212" s="6">
        <v>916.27</v>
      </c>
      <c r="N212" t="s">
        <v>32</v>
      </c>
    </row>
    <row r="213" spans="1:14" x14ac:dyDescent="0.45">
      <c r="A213">
        <v>1212</v>
      </c>
      <c r="B213" s="1">
        <v>46121</v>
      </c>
      <c r="C213" t="s">
        <v>35</v>
      </c>
      <c r="D213" t="s">
        <v>15</v>
      </c>
      <c r="E213" t="s">
        <v>24</v>
      </c>
      <c r="F213" t="s">
        <v>25</v>
      </c>
      <c r="G213" t="s">
        <v>45</v>
      </c>
      <c r="H213">
        <v>2</v>
      </c>
      <c r="I213" s="6">
        <v>350</v>
      </c>
      <c r="J213">
        <v>0.05</v>
      </c>
      <c r="K213" s="6">
        <v>665</v>
      </c>
      <c r="L213" s="6">
        <v>594.66999999999996</v>
      </c>
      <c r="M213" s="6">
        <v>70.33</v>
      </c>
      <c r="N213" t="s">
        <v>34</v>
      </c>
    </row>
    <row r="214" spans="1:14" x14ac:dyDescent="0.45">
      <c r="A214">
        <v>1213</v>
      </c>
      <c r="B214" s="1">
        <v>46122</v>
      </c>
      <c r="C214" t="s">
        <v>77</v>
      </c>
      <c r="D214" t="s">
        <v>21</v>
      </c>
      <c r="E214" t="s">
        <v>42</v>
      </c>
      <c r="F214" t="s">
        <v>17</v>
      </c>
      <c r="G214" t="s">
        <v>44</v>
      </c>
      <c r="H214">
        <v>4</v>
      </c>
      <c r="I214" s="6">
        <v>1540</v>
      </c>
      <c r="J214">
        <v>0</v>
      </c>
      <c r="K214" s="6">
        <v>6160</v>
      </c>
      <c r="L214" s="6">
        <v>4107.28</v>
      </c>
      <c r="M214" s="6">
        <v>2052.7199999999998</v>
      </c>
      <c r="N214" t="s">
        <v>19</v>
      </c>
    </row>
    <row r="215" spans="1:14" x14ac:dyDescent="0.45">
      <c r="A215">
        <v>1214</v>
      </c>
      <c r="B215" s="1">
        <v>46123</v>
      </c>
      <c r="C215" t="s">
        <v>106</v>
      </c>
      <c r="D215" t="s">
        <v>40</v>
      </c>
      <c r="E215" t="s">
        <v>24</v>
      </c>
      <c r="F215" t="s">
        <v>30</v>
      </c>
      <c r="G215" t="s">
        <v>37</v>
      </c>
      <c r="H215">
        <v>3</v>
      </c>
      <c r="I215" s="6">
        <v>400</v>
      </c>
      <c r="J215">
        <v>0</v>
      </c>
      <c r="K215" s="6">
        <v>1200</v>
      </c>
      <c r="L215" s="6">
        <v>890.97</v>
      </c>
      <c r="M215" s="6">
        <v>309.02999999999997</v>
      </c>
      <c r="N215" t="s">
        <v>19</v>
      </c>
    </row>
    <row r="216" spans="1:14" x14ac:dyDescent="0.45">
      <c r="A216">
        <v>1215</v>
      </c>
      <c r="B216" s="1">
        <v>46124</v>
      </c>
      <c r="C216" t="s">
        <v>61</v>
      </c>
      <c r="D216" t="s">
        <v>28</v>
      </c>
      <c r="E216" t="s">
        <v>29</v>
      </c>
      <c r="F216" t="s">
        <v>17</v>
      </c>
      <c r="G216" t="s">
        <v>18</v>
      </c>
      <c r="H216">
        <v>5</v>
      </c>
      <c r="I216" s="6">
        <v>1230</v>
      </c>
      <c r="J216">
        <v>0.05</v>
      </c>
      <c r="K216" s="6">
        <v>5842.5</v>
      </c>
      <c r="L216" s="6">
        <v>4735.12</v>
      </c>
      <c r="M216" s="6">
        <v>1107.3800000000001</v>
      </c>
      <c r="N216" t="s">
        <v>32</v>
      </c>
    </row>
    <row r="217" spans="1:14" x14ac:dyDescent="0.45">
      <c r="A217">
        <v>1216</v>
      </c>
      <c r="B217" s="1">
        <v>46125</v>
      </c>
      <c r="C217" t="s">
        <v>88</v>
      </c>
      <c r="D217" t="s">
        <v>28</v>
      </c>
      <c r="E217" t="s">
        <v>24</v>
      </c>
      <c r="F217" t="s">
        <v>30</v>
      </c>
      <c r="G217" t="s">
        <v>31</v>
      </c>
      <c r="H217">
        <v>2</v>
      </c>
      <c r="I217" s="6">
        <v>910</v>
      </c>
      <c r="J217">
        <v>0</v>
      </c>
      <c r="K217" s="6">
        <v>1820</v>
      </c>
      <c r="L217" s="6">
        <v>1071.21</v>
      </c>
      <c r="M217" s="6">
        <v>748.79</v>
      </c>
      <c r="N217" t="s">
        <v>32</v>
      </c>
    </row>
    <row r="218" spans="1:14" x14ac:dyDescent="0.45">
      <c r="A218">
        <v>1217</v>
      </c>
      <c r="B218" s="1">
        <v>46126</v>
      </c>
      <c r="C218" t="s">
        <v>107</v>
      </c>
      <c r="D218" t="s">
        <v>15</v>
      </c>
      <c r="E218" t="s">
        <v>24</v>
      </c>
      <c r="F218" t="s">
        <v>17</v>
      </c>
      <c r="G218" t="s">
        <v>44</v>
      </c>
      <c r="H218">
        <v>1</v>
      </c>
      <c r="I218" s="6">
        <v>1040</v>
      </c>
      <c r="J218">
        <v>0.05</v>
      </c>
      <c r="K218" s="6">
        <v>988</v>
      </c>
      <c r="L218" s="6">
        <v>841.46</v>
      </c>
      <c r="M218" s="6">
        <v>146.54</v>
      </c>
      <c r="N218" t="s">
        <v>19</v>
      </c>
    </row>
    <row r="219" spans="1:14" x14ac:dyDescent="0.45">
      <c r="A219">
        <v>1218</v>
      </c>
      <c r="B219" s="1">
        <v>46127</v>
      </c>
      <c r="C219" t="s">
        <v>111</v>
      </c>
      <c r="D219" t="s">
        <v>21</v>
      </c>
      <c r="E219" t="s">
        <v>16</v>
      </c>
      <c r="F219" t="s">
        <v>17</v>
      </c>
      <c r="G219" t="s">
        <v>44</v>
      </c>
      <c r="H219">
        <v>3</v>
      </c>
      <c r="I219" s="6">
        <v>810</v>
      </c>
      <c r="J219">
        <v>0.05</v>
      </c>
      <c r="K219" s="6">
        <v>2308.5</v>
      </c>
      <c r="L219" s="6">
        <v>1449.51</v>
      </c>
      <c r="M219" s="6">
        <v>858.99</v>
      </c>
      <c r="N219" t="s">
        <v>19</v>
      </c>
    </row>
    <row r="220" spans="1:14" x14ac:dyDescent="0.45">
      <c r="A220">
        <v>1219</v>
      </c>
      <c r="B220" s="1">
        <v>46128</v>
      </c>
      <c r="C220" t="s">
        <v>112</v>
      </c>
      <c r="D220" t="s">
        <v>21</v>
      </c>
      <c r="E220" t="s">
        <v>42</v>
      </c>
      <c r="F220" t="s">
        <v>25</v>
      </c>
      <c r="G220" t="s">
        <v>26</v>
      </c>
      <c r="H220">
        <v>4</v>
      </c>
      <c r="I220" s="6">
        <v>650</v>
      </c>
      <c r="J220">
        <v>0</v>
      </c>
      <c r="K220" s="6">
        <v>2600</v>
      </c>
      <c r="L220" s="6">
        <v>1647.48</v>
      </c>
      <c r="M220" s="6">
        <v>952.52</v>
      </c>
      <c r="N220" t="s">
        <v>19</v>
      </c>
    </row>
    <row r="221" spans="1:14" x14ac:dyDescent="0.45">
      <c r="A221">
        <v>1220</v>
      </c>
      <c r="B221" s="1">
        <v>46129</v>
      </c>
      <c r="C221" t="s">
        <v>100</v>
      </c>
      <c r="D221" t="s">
        <v>15</v>
      </c>
      <c r="E221" t="s">
        <v>16</v>
      </c>
      <c r="F221" t="s">
        <v>25</v>
      </c>
      <c r="G221" t="s">
        <v>26</v>
      </c>
      <c r="H221">
        <v>5</v>
      </c>
      <c r="I221" s="6">
        <v>860</v>
      </c>
      <c r="J221">
        <v>0.05</v>
      </c>
      <c r="K221" s="6">
        <v>4085</v>
      </c>
      <c r="L221" s="6">
        <v>2380.5500000000002</v>
      </c>
      <c r="M221" s="6">
        <v>1704.45</v>
      </c>
      <c r="N221" t="s">
        <v>34</v>
      </c>
    </row>
    <row r="222" spans="1:14" x14ac:dyDescent="0.45">
      <c r="A222">
        <v>1221</v>
      </c>
      <c r="B222" s="1">
        <v>46130</v>
      </c>
      <c r="C222" t="s">
        <v>58</v>
      </c>
      <c r="D222" t="s">
        <v>23</v>
      </c>
      <c r="E222" t="s">
        <v>16</v>
      </c>
      <c r="F222" t="s">
        <v>30</v>
      </c>
      <c r="G222" t="s">
        <v>37</v>
      </c>
      <c r="H222">
        <v>2</v>
      </c>
      <c r="I222" s="6">
        <v>1520</v>
      </c>
      <c r="J222">
        <v>0.05</v>
      </c>
      <c r="K222" s="6">
        <v>2888</v>
      </c>
      <c r="L222" s="6">
        <v>2113.0100000000002</v>
      </c>
      <c r="M222" s="6">
        <v>774.99</v>
      </c>
      <c r="N222" t="s">
        <v>34</v>
      </c>
    </row>
    <row r="223" spans="1:14" x14ac:dyDescent="0.45">
      <c r="A223">
        <v>1222</v>
      </c>
      <c r="B223" s="1">
        <v>46131</v>
      </c>
      <c r="C223" t="s">
        <v>43</v>
      </c>
      <c r="D223" t="s">
        <v>28</v>
      </c>
      <c r="E223" t="s">
        <v>16</v>
      </c>
      <c r="F223" t="s">
        <v>30</v>
      </c>
      <c r="G223" t="s">
        <v>37</v>
      </c>
      <c r="H223">
        <v>3</v>
      </c>
      <c r="I223" s="6">
        <v>1340</v>
      </c>
      <c r="J223">
        <v>0.1</v>
      </c>
      <c r="K223" s="6">
        <v>3618</v>
      </c>
      <c r="L223" s="6">
        <v>2791.84</v>
      </c>
      <c r="M223" s="6">
        <v>826.16</v>
      </c>
      <c r="N223" t="s">
        <v>19</v>
      </c>
    </row>
    <row r="224" spans="1:14" x14ac:dyDescent="0.45">
      <c r="A224">
        <v>1223</v>
      </c>
      <c r="B224" s="1">
        <v>46132</v>
      </c>
      <c r="C224" t="s">
        <v>95</v>
      </c>
      <c r="D224" t="s">
        <v>15</v>
      </c>
      <c r="E224" t="s">
        <v>29</v>
      </c>
      <c r="F224" t="s">
        <v>30</v>
      </c>
      <c r="G224" t="s">
        <v>31</v>
      </c>
      <c r="H224">
        <v>5</v>
      </c>
      <c r="I224" s="6">
        <v>660</v>
      </c>
      <c r="J224">
        <v>0.15</v>
      </c>
      <c r="K224" s="6">
        <v>2805</v>
      </c>
      <c r="L224" s="6">
        <v>1642.66</v>
      </c>
      <c r="M224" s="6">
        <v>1162.3399999999999</v>
      </c>
      <c r="N224" t="s">
        <v>19</v>
      </c>
    </row>
    <row r="225" spans="1:14" x14ac:dyDescent="0.45">
      <c r="A225">
        <v>1224</v>
      </c>
      <c r="B225" s="1">
        <v>46133</v>
      </c>
      <c r="C225" t="s">
        <v>92</v>
      </c>
      <c r="D225" t="s">
        <v>15</v>
      </c>
      <c r="E225" t="s">
        <v>16</v>
      </c>
      <c r="F225" t="s">
        <v>25</v>
      </c>
      <c r="G225" t="s">
        <v>26</v>
      </c>
      <c r="H225">
        <v>5</v>
      </c>
      <c r="I225" s="6">
        <v>1840</v>
      </c>
      <c r="J225">
        <v>0.1</v>
      </c>
      <c r="K225" s="6">
        <v>8280</v>
      </c>
      <c r="L225" s="6">
        <v>6659.1</v>
      </c>
      <c r="M225" s="6">
        <v>1620.9</v>
      </c>
      <c r="N225" t="s">
        <v>19</v>
      </c>
    </row>
    <row r="226" spans="1:14" x14ac:dyDescent="0.45">
      <c r="A226">
        <v>1225</v>
      </c>
      <c r="B226" s="1">
        <v>46134</v>
      </c>
      <c r="C226" t="s">
        <v>68</v>
      </c>
      <c r="D226" t="s">
        <v>40</v>
      </c>
      <c r="E226" t="s">
        <v>24</v>
      </c>
      <c r="F226" t="s">
        <v>17</v>
      </c>
      <c r="G226" t="s">
        <v>44</v>
      </c>
      <c r="H226">
        <v>5</v>
      </c>
      <c r="I226" s="6">
        <v>520</v>
      </c>
      <c r="J226">
        <v>0.05</v>
      </c>
      <c r="K226" s="6">
        <v>2470</v>
      </c>
      <c r="L226" s="6">
        <v>1498.16</v>
      </c>
      <c r="M226" s="6">
        <v>971.84</v>
      </c>
      <c r="N226" t="s">
        <v>34</v>
      </c>
    </row>
    <row r="227" spans="1:14" x14ac:dyDescent="0.45">
      <c r="A227">
        <v>1226</v>
      </c>
      <c r="B227" s="1">
        <v>46135</v>
      </c>
      <c r="C227" t="s">
        <v>65</v>
      </c>
      <c r="D227" t="s">
        <v>15</v>
      </c>
      <c r="E227" t="s">
        <v>24</v>
      </c>
      <c r="F227" t="s">
        <v>30</v>
      </c>
      <c r="G227" t="s">
        <v>37</v>
      </c>
      <c r="H227">
        <v>3</v>
      </c>
      <c r="I227" s="6">
        <v>790</v>
      </c>
      <c r="J227">
        <v>0.1</v>
      </c>
      <c r="K227" s="6">
        <v>2133</v>
      </c>
      <c r="L227" s="6">
        <v>1387.65</v>
      </c>
      <c r="M227" s="6">
        <v>745.35</v>
      </c>
      <c r="N227" t="s">
        <v>32</v>
      </c>
    </row>
    <row r="228" spans="1:14" x14ac:dyDescent="0.45">
      <c r="A228">
        <v>1227</v>
      </c>
      <c r="B228" s="1">
        <v>46136</v>
      </c>
      <c r="C228" t="s">
        <v>98</v>
      </c>
      <c r="D228" t="s">
        <v>23</v>
      </c>
      <c r="E228" t="s">
        <v>24</v>
      </c>
      <c r="F228" t="s">
        <v>25</v>
      </c>
      <c r="G228" t="s">
        <v>45</v>
      </c>
      <c r="H228">
        <v>2</v>
      </c>
      <c r="I228" s="6">
        <v>1860</v>
      </c>
      <c r="J228">
        <v>0.15</v>
      </c>
      <c r="K228" s="6">
        <v>3162</v>
      </c>
      <c r="L228" s="6">
        <v>1704.63</v>
      </c>
      <c r="M228" s="6">
        <v>1457.37</v>
      </c>
      <c r="N228" t="s">
        <v>32</v>
      </c>
    </row>
    <row r="229" spans="1:14" x14ac:dyDescent="0.45">
      <c r="A229">
        <v>1228</v>
      </c>
      <c r="B229" s="1">
        <v>46137</v>
      </c>
      <c r="C229" t="s">
        <v>94</v>
      </c>
      <c r="D229" t="s">
        <v>40</v>
      </c>
      <c r="E229" t="s">
        <v>16</v>
      </c>
      <c r="F229" t="s">
        <v>17</v>
      </c>
      <c r="G229" t="s">
        <v>44</v>
      </c>
      <c r="H229">
        <v>4</v>
      </c>
      <c r="I229" s="6">
        <v>1200</v>
      </c>
      <c r="J229">
        <v>0</v>
      </c>
      <c r="K229" s="6">
        <v>4800</v>
      </c>
      <c r="L229" s="6">
        <v>2484.39</v>
      </c>
      <c r="M229" s="6">
        <v>2315.61</v>
      </c>
      <c r="N229" t="s">
        <v>32</v>
      </c>
    </row>
    <row r="230" spans="1:14" x14ac:dyDescent="0.45">
      <c r="A230">
        <v>1229</v>
      </c>
      <c r="B230" s="1">
        <v>46138</v>
      </c>
      <c r="C230" t="s">
        <v>20</v>
      </c>
      <c r="D230" t="s">
        <v>23</v>
      </c>
      <c r="E230" t="s">
        <v>16</v>
      </c>
      <c r="F230" t="s">
        <v>30</v>
      </c>
      <c r="G230" t="s">
        <v>37</v>
      </c>
      <c r="H230">
        <v>5</v>
      </c>
      <c r="I230" s="6">
        <v>270</v>
      </c>
      <c r="J230">
        <v>0.15</v>
      </c>
      <c r="K230" s="6">
        <v>1147.5</v>
      </c>
      <c r="L230" s="6">
        <v>711.71</v>
      </c>
      <c r="M230" s="6">
        <v>435.79</v>
      </c>
      <c r="N230" t="s">
        <v>32</v>
      </c>
    </row>
    <row r="231" spans="1:14" x14ac:dyDescent="0.45">
      <c r="A231">
        <v>1230</v>
      </c>
      <c r="B231" s="1">
        <v>46139</v>
      </c>
      <c r="C231" t="s">
        <v>100</v>
      </c>
      <c r="D231" t="s">
        <v>21</v>
      </c>
      <c r="E231" t="s">
        <v>24</v>
      </c>
      <c r="F231" t="s">
        <v>30</v>
      </c>
      <c r="G231" t="s">
        <v>37</v>
      </c>
      <c r="H231">
        <v>3</v>
      </c>
      <c r="I231" s="6">
        <v>360</v>
      </c>
      <c r="J231">
        <v>0.15</v>
      </c>
      <c r="K231" s="6">
        <v>918</v>
      </c>
      <c r="L231" s="6">
        <v>762.14</v>
      </c>
      <c r="M231" s="6">
        <v>155.86000000000001</v>
      </c>
      <c r="N231" t="s">
        <v>34</v>
      </c>
    </row>
    <row r="232" spans="1:14" x14ac:dyDescent="0.45">
      <c r="A232">
        <v>1231</v>
      </c>
      <c r="B232" s="1">
        <v>46140</v>
      </c>
      <c r="C232" t="s">
        <v>83</v>
      </c>
      <c r="D232" t="s">
        <v>21</v>
      </c>
      <c r="E232" t="s">
        <v>24</v>
      </c>
      <c r="F232" t="s">
        <v>17</v>
      </c>
      <c r="G232" t="s">
        <v>44</v>
      </c>
      <c r="H232">
        <v>2</v>
      </c>
      <c r="I232" s="6">
        <v>470</v>
      </c>
      <c r="J232">
        <v>0</v>
      </c>
      <c r="K232" s="6">
        <v>940</v>
      </c>
      <c r="L232" s="6">
        <v>740.74</v>
      </c>
      <c r="M232" s="6">
        <v>199.26</v>
      </c>
      <c r="N232" t="s">
        <v>19</v>
      </c>
    </row>
    <row r="233" spans="1:14" x14ac:dyDescent="0.45">
      <c r="A233">
        <v>1232</v>
      </c>
      <c r="B233" s="1">
        <v>46141</v>
      </c>
      <c r="C233" t="s">
        <v>95</v>
      </c>
      <c r="D233" t="s">
        <v>23</v>
      </c>
      <c r="E233" t="s">
        <v>42</v>
      </c>
      <c r="F233" t="s">
        <v>17</v>
      </c>
      <c r="G233" t="s">
        <v>18</v>
      </c>
      <c r="H233">
        <v>2</v>
      </c>
      <c r="I233" s="6">
        <v>1820</v>
      </c>
      <c r="J233">
        <v>0</v>
      </c>
      <c r="K233" s="6">
        <v>3640</v>
      </c>
      <c r="L233" s="6">
        <v>2895.84</v>
      </c>
      <c r="M233" s="6">
        <v>744.16</v>
      </c>
      <c r="N233" t="s">
        <v>32</v>
      </c>
    </row>
    <row r="234" spans="1:14" x14ac:dyDescent="0.45">
      <c r="A234">
        <v>1233</v>
      </c>
      <c r="B234" s="1">
        <v>46142</v>
      </c>
      <c r="C234" t="s">
        <v>106</v>
      </c>
      <c r="D234" t="s">
        <v>28</v>
      </c>
      <c r="E234" t="s">
        <v>42</v>
      </c>
      <c r="F234" t="s">
        <v>17</v>
      </c>
      <c r="G234" t="s">
        <v>44</v>
      </c>
      <c r="H234">
        <v>2</v>
      </c>
      <c r="I234" s="6">
        <v>1560</v>
      </c>
      <c r="J234">
        <v>0</v>
      </c>
      <c r="K234" s="6">
        <v>3120</v>
      </c>
      <c r="L234" s="6">
        <v>2477.54</v>
      </c>
      <c r="M234" s="6">
        <v>642.46</v>
      </c>
      <c r="N234" t="s">
        <v>19</v>
      </c>
    </row>
    <row r="235" spans="1:14" x14ac:dyDescent="0.45">
      <c r="A235">
        <v>1234</v>
      </c>
      <c r="B235" s="1">
        <v>46143</v>
      </c>
      <c r="C235" t="s">
        <v>101</v>
      </c>
      <c r="D235" t="s">
        <v>21</v>
      </c>
      <c r="E235" t="s">
        <v>16</v>
      </c>
      <c r="F235" t="s">
        <v>17</v>
      </c>
      <c r="G235" t="s">
        <v>44</v>
      </c>
      <c r="H235">
        <v>1</v>
      </c>
      <c r="I235" s="6">
        <v>1860</v>
      </c>
      <c r="J235">
        <v>0</v>
      </c>
      <c r="K235" s="6">
        <v>1860</v>
      </c>
      <c r="L235" s="6">
        <v>1348.02</v>
      </c>
      <c r="M235" s="6">
        <v>511.98</v>
      </c>
      <c r="N235" t="s">
        <v>34</v>
      </c>
    </row>
    <row r="236" spans="1:14" x14ac:dyDescent="0.45">
      <c r="A236">
        <v>1235</v>
      </c>
      <c r="B236" s="1">
        <v>46144</v>
      </c>
      <c r="C236" t="s">
        <v>95</v>
      </c>
      <c r="D236" t="s">
        <v>23</v>
      </c>
      <c r="E236" t="s">
        <v>42</v>
      </c>
      <c r="F236" t="s">
        <v>30</v>
      </c>
      <c r="G236" t="s">
        <v>31</v>
      </c>
      <c r="H236">
        <v>5</v>
      </c>
      <c r="I236" s="6">
        <v>1350</v>
      </c>
      <c r="J236">
        <v>0.05</v>
      </c>
      <c r="K236" s="6">
        <v>6412.5</v>
      </c>
      <c r="L236" s="6">
        <v>4086.55</v>
      </c>
      <c r="M236" s="6">
        <v>2325.9499999999998</v>
      </c>
      <c r="N236" t="s">
        <v>34</v>
      </c>
    </row>
    <row r="237" spans="1:14" x14ac:dyDescent="0.45">
      <c r="A237">
        <v>1236</v>
      </c>
      <c r="B237" s="1">
        <v>46145</v>
      </c>
      <c r="C237" t="s">
        <v>93</v>
      </c>
      <c r="D237" t="s">
        <v>15</v>
      </c>
      <c r="E237" t="s">
        <v>29</v>
      </c>
      <c r="F237" t="s">
        <v>17</v>
      </c>
      <c r="G237" t="s">
        <v>44</v>
      </c>
      <c r="H237">
        <v>3</v>
      </c>
      <c r="I237" s="6">
        <v>1940</v>
      </c>
      <c r="J237">
        <v>0.05</v>
      </c>
      <c r="K237" s="6">
        <v>5529</v>
      </c>
      <c r="L237" s="6">
        <v>4798.43</v>
      </c>
      <c r="M237" s="6">
        <v>730.57</v>
      </c>
      <c r="N237" t="s">
        <v>19</v>
      </c>
    </row>
    <row r="238" spans="1:14" x14ac:dyDescent="0.45">
      <c r="A238">
        <v>1237</v>
      </c>
      <c r="B238" s="1">
        <v>46146</v>
      </c>
      <c r="C238" t="s">
        <v>93</v>
      </c>
      <c r="D238" t="s">
        <v>28</v>
      </c>
      <c r="E238" t="s">
        <v>16</v>
      </c>
      <c r="F238" t="s">
        <v>25</v>
      </c>
      <c r="G238" t="s">
        <v>26</v>
      </c>
      <c r="H238">
        <v>5</v>
      </c>
      <c r="I238" s="6">
        <v>1980</v>
      </c>
      <c r="J238">
        <v>0.15</v>
      </c>
      <c r="K238" s="6">
        <v>8415</v>
      </c>
      <c r="L238" s="6">
        <v>5716.81</v>
      </c>
      <c r="M238" s="6">
        <v>2698.19</v>
      </c>
      <c r="N238" t="s">
        <v>32</v>
      </c>
    </row>
    <row r="239" spans="1:14" x14ac:dyDescent="0.45">
      <c r="A239">
        <v>1238</v>
      </c>
      <c r="B239" s="1">
        <v>46147</v>
      </c>
      <c r="C239" t="s">
        <v>84</v>
      </c>
      <c r="D239" t="s">
        <v>15</v>
      </c>
      <c r="E239" t="s">
        <v>42</v>
      </c>
      <c r="F239" t="s">
        <v>25</v>
      </c>
      <c r="G239" t="s">
        <v>26</v>
      </c>
      <c r="H239">
        <v>5</v>
      </c>
      <c r="I239" s="6">
        <v>720</v>
      </c>
      <c r="J239">
        <v>0</v>
      </c>
      <c r="K239" s="6">
        <v>3600</v>
      </c>
      <c r="L239" s="6">
        <v>2229.13</v>
      </c>
      <c r="M239" s="6">
        <v>1370.87</v>
      </c>
      <c r="N239" t="s">
        <v>19</v>
      </c>
    </row>
    <row r="240" spans="1:14" x14ac:dyDescent="0.45">
      <c r="A240">
        <v>1239</v>
      </c>
      <c r="B240" s="1">
        <v>46148</v>
      </c>
      <c r="C240" t="s">
        <v>66</v>
      </c>
      <c r="D240" t="s">
        <v>21</v>
      </c>
      <c r="E240" t="s">
        <v>16</v>
      </c>
      <c r="F240" t="s">
        <v>17</v>
      </c>
      <c r="G240" t="s">
        <v>18</v>
      </c>
      <c r="H240">
        <v>1</v>
      </c>
      <c r="I240" s="6">
        <v>510</v>
      </c>
      <c r="J240">
        <v>0.05</v>
      </c>
      <c r="K240" s="6">
        <v>484.5</v>
      </c>
      <c r="L240" s="6">
        <v>256.38</v>
      </c>
      <c r="M240" s="6">
        <v>228.12</v>
      </c>
      <c r="N240" t="s">
        <v>34</v>
      </c>
    </row>
    <row r="241" spans="1:14" x14ac:dyDescent="0.45">
      <c r="A241">
        <v>1240</v>
      </c>
      <c r="B241" s="1">
        <v>46149</v>
      </c>
      <c r="C241" t="s">
        <v>106</v>
      </c>
      <c r="D241" t="s">
        <v>23</v>
      </c>
      <c r="E241" t="s">
        <v>29</v>
      </c>
      <c r="F241" t="s">
        <v>17</v>
      </c>
      <c r="G241" t="s">
        <v>18</v>
      </c>
      <c r="H241">
        <v>2</v>
      </c>
      <c r="I241" s="6">
        <v>870</v>
      </c>
      <c r="J241">
        <v>0.1</v>
      </c>
      <c r="K241" s="6">
        <v>1566</v>
      </c>
      <c r="L241" s="6">
        <v>1392.85</v>
      </c>
      <c r="M241" s="6">
        <v>173.15</v>
      </c>
      <c r="N241" t="s">
        <v>19</v>
      </c>
    </row>
    <row r="242" spans="1:14" x14ac:dyDescent="0.45">
      <c r="A242">
        <v>1241</v>
      </c>
      <c r="B242" s="1">
        <v>46150</v>
      </c>
      <c r="C242" t="s">
        <v>101</v>
      </c>
      <c r="D242" t="s">
        <v>21</v>
      </c>
      <c r="E242" t="s">
        <v>42</v>
      </c>
      <c r="F242" t="s">
        <v>17</v>
      </c>
      <c r="G242" t="s">
        <v>18</v>
      </c>
      <c r="H242">
        <v>4</v>
      </c>
      <c r="I242" s="6">
        <v>1080</v>
      </c>
      <c r="J242">
        <v>0</v>
      </c>
      <c r="K242" s="6">
        <v>4320</v>
      </c>
      <c r="L242" s="6">
        <v>2285.9299999999998</v>
      </c>
      <c r="M242" s="6">
        <v>2034.07</v>
      </c>
      <c r="N242" t="s">
        <v>32</v>
      </c>
    </row>
    <row r="243" spans="1:14" x14ac:dyDescent="0.45">
      <c r="A243">
        <v>1242</v>
      </c>
      <c r="B243" s="1">
        <v>46151</v>
      </c>
      <c r="C243" t="s">
        <v>75</v>
      </c>
      <c r="D243" t="s">
        <v>40</v>
      </c>
      <c r="E243" t="s">
        <v>24</v>
      </c>
      <c r="F243" t="s">
        <v>25</v>
      </c>
      <c r="G243" t="s">
        <v>26</v>
      </c>
      <c r="H243">
        <v>3</v>
      </c>
      <c r="I243" s="6">
        <v>1770</v>
      </c>
      <c r="J243">
        <v>0.15</v>
      </c>
      <c r="K243" s="6">
        <v>4513.5</v>
      </c>
      <c r="L243" s="6">
        <v>3325.56</v>
      </c>
      <c r="M243" s="6">
        <v>1187.94</v>
      </c>
      <c r="N243" t="s">
        <v>32</v>
      </c>
    </row>
    <row r="244" spans="1:14" x14ac:dyDescent="0.45">
      <c r="A244">
        <v>1243</v>
      </c>
      <c r="B244" s="1">
        <v>46152</v>
      </c>
      <c r="C244" t="s">
        <v>91</v>
      </c>
      <c r="D244" t="s">
        <v>40</v>
      </c>
      <c r="E244" t="s">
        <v>42</v>
      </c>
      <c r="F244" t="s">
        <v>25</v>
      </c>
      <c r="G244" t="s">
        <v>26</v>
      </c>
      <c r="H244">
        <v>1</v>
      </c>
      <c r="I244" s="6">
        <v>1260</v>
      </c>
      <c r="J244">
        <v>0.15</v>
      </c>
      <c r="K244" s="6">
        <v>1071</v>
      </c>
      <c r="L244" s="6">
        <v>722.97</v>
      </c>
      <c r="M244" s="6">
        <v>348.03</v>
      </c>
      <c r="N244" t="s">
        <v>34</v>
      </c>
    </row>
    <row r="245" spans="1:14" x14ac:dyDescent="0.45">
      <c r="A245">
        <v>1244</v>
      </c>
      <c r="B245" s="1">
        <v>46153</v>
      </c>
      <c r="C245" t="s">
        <v>92</v>
      </c>
      <c r="D245" t="s">
        <v>15</v>
      </c>
      <c r="E245" t="s">
        <v>42</v>
      </c>
      <c r="F245" t="s">
        <v>17</v>
      </c>
      <c r="G245" t="s">
        <v>18</v>
      </c>
      <c r="H245">
        <v>5</v>
      </c>
      <c r="I245" s="6">
        <v>1480</v>
      </c>
      <c r="J245">
        <v>0.05</v>
      </c>
      <c r="K245" s="6">
        <v>7030</v>
      </c>
      <c r="L245" s="6">
        <v>5715.7</v>
      </c>
      <c r="M245" s="6">
        <v>1314.3</v>
      </c>
      <c r="N245" t="s">
        <v>34</v>
      </c>
    </row>
    <row r="246" spans="1:14" x14ac:dyDescent="0.45">
      <c r="A246">
        <v>1245</v>
      </c>
      <c r="B246" s="1">
        <v>46154</v>
      </c>
      <c r="C246" t="s">
        <v>69</v>
      </c>
      <c r="D246" t="s">
        <v>40</v>
      </c>
      <c r="E246" t="s">
        <v>16</v>
      </c>
      <c r="F246" t="s">
        <v>30</v>
      </c>
      <c r="G246" t="s">
        <v>37</v>
      </c>
      <c r="H246">
        <v>2</v>
      </c>
      <c r="I246" s="6">
        <v>1480</v>
      </c>
      <c r="J246">
        <v>0.05</v>
      </c>
      <c r="K246" s="6">
        <v>2812</v>
      </c>
      <c r="L246" s="6">
        <v>2427.0700000000002</v>
      </c>
      <c r="M246" s="6">
        <v>384.93</v>
      </c>
      <c r="N246" t="s">
        <v>19</v>
      </c>
    </row>
    <row r="247" spans="1:14" x14ac:dyDescent="0.45">
      <c r="A247">
        <v>1246</v>
      </c>
      <c r="B247" s="1">
        <v>46155</v>
      </c>
      <c r="C247" t="s">
        <v>98</v>
      </c>
      <c r="D247" t="s">
        <v>15</v>
      </c>
      <c r="E247" t="s">
        <v>42</v>
      </c>
      <c r="F247" t="s">
        <v>30</v>
      </c>
      <c r="G247" t="s">
        <v>31</v>
      </c>
      <c r="H247">
        <v>2</v>
      </c>
      <c r="I247" s="6">
        <v>1820</v>
      </c>
      <c r="J247">
        <v>0.1</v>
      </c>
      <c r="K247" s="6">
        <v>3276</v>
      </c>
      <c r="L247" s="6">
        <v>1660.2</v>
      </c>
      <c r="M247" s="6">
        <v>1615.8</v>
      </c>
      <c r="N247" t="s">
        <v>32</v>
      </c>
    </row>
    <row r="248" spans="1:14" x14ac:dyDescent="0.45">
      <c r="A248">
        <v>1247</v>
      </c>
      <c r="B248" s="1">
        <v>46156</v>
      </c>
      <c r="C248" t="s">
        <v>69</v>
      </c>
      <c r="D248" t="s">
        <v>21</v>
      </c>
      <c r="E248" t="s">
        <v>29</v>
      </c>
      <c r="F248" t="s">
        <v>25</v>
      </c>
      <c r="G248" t="s">
        <v>26</v>
      </c>
      <c r="H248">
        <v>4</v>
      </c>
      <c r="I248" s="6">
        <v>680</v>
      </c>
      <c r="J248">
        <v>0</v>
      </c>
      <c r="K248" s="6">
        <v>2720</v>
      </c>
      <c r="L248" s="6">
        <v>1901.18</v>
      </c>
      <c r="M248" s="6">
        <v>818.82</v>
      </c>
      <c r="N248" t="s">
        <v>19</v>
      </c>
    </row>
    <row r="249" spans="1:14" x14ac:dyDescent="0.45">
      <c r="A249">
        <v>1248</v>
      </c>
      <c r="B249" s="1">
        <v>46157</v>
      </c>
      <c r="C249" t="s">
        <v>74</v>
      </c>
      <c r="D249" t="s">
        <v>40</v>
      </c>
      <c r="E249" t="s">
        <v>16</v>
      </c>
      <c r="F249" t="s">
        <v>30</v>
      </c>
      <c r="G249" t="s">
        <v>37</v>
      </c>
      <c r="H249">
        <v>1</v>
      </c>
      <c r="I249" s="6">
        <v>1850</v>
      </c>
      <c r="J249">
        <v>0.05</v>
      </c>
      <c r="K249" s="6">
        <v>1757.5</v>
      </c>
      <c r="L249" s="6">
        <v>1427.62</v>
      </c>
      <c r="M249" s="6">
        <v>329.88</v>
      </c>
      <c r="N249" t="s">
        <v>32</v>
      </c>
    </row>
    <row r="250" spans="1:14" x14ac:dyDescent="0.45">
      <c r="A250">
        <v>1249</v>
      </c>
      <c r="B250" s="1">
        <v>46158</v>
      </c>
      <c r="C250" t="s">
        <v>105</v>
      </c>
      <c r="D250" t="s">
        <v>21</v>
      </c>
      <c r="E250" t="s">
        <v>29</v>
      </c>
      <c r="F250" t="s">
        <v>25</v>
      </c>
      <c r="G250" t="s">
        <v>45</v>
      </c>
      <c r="H250">
        <v>1</v>
      </c>
      <c r="I250" s="6">
        <v>1010</v>
      </c>
      <c r="J250">
        <v>0.05</v>
      </c>
      <c r="K250" s="6">
        <v>959.5</v>
      </c>
      <c r="L250" s="6">
        <v>484.39</v>
      </c>
      <c r="M250" s="6">
        <v>475.11</v>
      </c>
      <c r="N250" t="s">
        <v>19</v>
      </c>
    </row>
    <row r="251" spans="1:14" x14ac:dyDescent="0.45">
      <c r="A251">
        <v>1250</v>
      </c>
      <c r="B251" s="1">
        <v>46159</v>
      </c>
      <c r="C251" t="s">
        <v>47</v>
      </c>
      <c r="D251" t="s">
        <v>21</v>
      </c>
      <c r="E251" t="s">
        <v>42</v>
      </c>
      <c r="F251" t="s">
        <v>25</v>
      </c>
      <c r="G251" t="s">
        <v>26</v>
      </c>
      <c r="H251">
        <v>4</v>
      </c>
      <c r="I251" s="6">
        <v>1660</v>
      </c>
      <c r="J251">
        <v>0.05</v>
      </c>
      <c r="K251" s="6">
        <v>6308</v>
      </c>
      <c r="L251" s="6">
        <v>4079.23</v>
      </c>
      <c r="M251" s="6">
        <v>2228.77</v>
      </c>
      <c r="N251" t="s">
        <v>34</v>
      </c>
    </row>
    <row r="252" spans="1:14" x14ac:dyDescent="0.45">
      <c r="A252">
        <v>1251</v>
      </c>
      <c r="B252" s="1">
        <v>46160</v>
      </c>
      <c r="C252" t="s">
        <v>68</v>
      </c>
      <c r="D252" t="s">
        <v>28</v>
      </c>
      <c r="E252" t="s">
        <v>16</v>
      </c>
      <c r="F252" t="s">
        <v>17</v>
      </c>
      <c r="G252" t="s">
        <v>44</v>
      </c>
      <c r="H252">
        <v>1</v>
      </c>
      <c r="I252" s="6">
        <v>390</v>
      </c>
      <c r="J252">
        <v>0.1</v>
      </c>
      <c r="K252" s="6">
        <v>351</v>
      </c>
      <c r="L252" s="6">
        <v>192.26</v>
      </c>
      <c r="M252" s="6">
        <v>158.74</v>
      </c>
      <c r="N252" t="s">
        <v>34</v>
      </c>
    </row>
    <row r="253" spans="1:14" x14ac:dyDescent="0.45">
      <c r="A253">
        <v>1252</v>
      </c>
      <c r="B253" s="1">
        <v>46161</v>
      </c>
      <c r="C253" t="s">
        <v>70</v>
      </c>
      <c r="D253" t="s">
        <v>40</v>
      </c>
      <c r="E253" t="s">
        <v>42</v>
      </c>
      <c r="F253" t="s">
        <v>30</v>
      </c>
      <c r="G253" t="s">
        <v>37</v>
      </c>
      <c r="H253">
        <v>5</v>
      </c>
      <c r="I253" s="6">
        <v>1680</v>
      </c>
      <c r="J253">
        <v>0.15</v>
      </c>
      <c r="K253" s="6">
        <v>7140</v>
      </c>
      <c r="L253" s="6">
        <v>6297.01</v>
      </c>
      <c r="M253" s="6">
        <v>842.99</v>
      </c>
      <c r="N253" t="s">
        <v>34</v>
      </c>
    </row>
    <row r="254" spans="1:14" x14ac:dyDescent="0.45">
      <c r="A254">
        <v>1253</v>
      </c>
      <c r="B254" s="1">
        <v>46162</v>
      </c>
      <c r="C254" t="s">
        <v>36</v>
      </c>
      <c r="D254" t="s">
        <v>28</v>
      </c>
      <c r="E254" t="s">
        <v>42</v>
      </c>
      <c r="F254" t="s">
        <v>17</v>
      </c>
      <c r="G254" t="s">
        <v>18</v>
      </c>
      <c r="H254">
        <v>5</v>
      </c>
      <c r="I254" s="6">
        <v>1250</v>
      </c>
      <c r="J254">
        <v>0.15</v>
      </c>
      <c r="K254" s="6">
        <v>5312.5</v>
      </c>
      <c r="L254" s="6">
        <v>3625.56</v>
      </c>
      <c r="M254" s="6">
        <v>1686.94</v>
      </c>
      <c r="N254" t="s">
        <v>19</v>
      </c>
    </row>
    <row r="255" spans="1:14" x14ac:dyDescent="0.45">
      <c r="A255">
        <v>1254</v>
      </c>
      <c r="B255" s="1">
        <v>46163</v>
      </c>
      <c r="C255" t="s">
        <v>52</v>
      </c>
      <c r="D255" t="s">
        <v>15</v>
      </c>
      <c r="E255" t="s">
        <v>24</v>
      </c>
      <c r="F255" t="s">
        <v>25</v>
      </c>
      <c r="G255" t="s">
        <v>26</v>
      </c>
      <c r="H255">
        <v>5</v>
      </c>
      <c r="I255" s="6">
        <v>540</v>
      </c>
      <c r="J255">
        <v>0</v>
      </c>
      <c r="K255" s="6">
        <v>2700</v>
      </c>
      <c r="L255" s="6">
        <v>2311.94</v>
      </c>
      <c r="M255" s="6">
        <v>388.06</v>
      </c>
      <c r="N255" t="s">
        <v>34</v>
      </c>
    </row>
    <row r="256" spans="1:14" x14ac:dyDescent="0.45">
      <c r="A256">
        <v>1255</v>
      </c>
      <c r="B256" s="1">
        <v>46164</v>
      </c>
      <c r="C256" t="s">
        <v>63</v>
      </c>
      <c r="D256" t="s">
        <v>21</v>
      </c>
      <c r="E256" t="s">
        <v>16</v>
      </c>
      <c r="F256" t="s">
        <v>25</v>
      </c>
      <c r="G256" t="s">
        <v>45</v>
      </c>
      <c r="H256">
        <v>4</v>
      </c>
      <c r="I256" s="6">
        <v>830</v>
      </c>
      <c r="J256">
        <v>0.05</v>
      </c>
      <c r="K256" s="6">
        <v>3154</v>
      </c>
      <c r="L256" s="6">
        <v>2573.27</v>
      </c>
      <c r="M256" s="6">
        <v>580.73</v>
      </c>
      <c r="N256" t="s">
        <v>32</v>
      </c>
    </row>
    <row r="257" spans="1:14" x14ac:dyDescent="0.45">
      <c r="A257">
        <v>1256</v>
      </c>
      <c r="B257" s="1">
        <v>46165</v>
      </c>
      <c r="C257" t="s">
        <v>77</v>
      </c>
      <c r="D257" t="s">
        <v>23</v>
      </c>
      <c r="E257" t="s">
        <v>24</v>
      </c>
      <c r="F257" t="s">
        <v>17</v>
      </c>
      <c r="G257" t="s">
        <v>44</v>
      </c>
      <c r="H257">
        <v>4</v>
      </c>
      <c r="I257" s="6">
        <v>970</v>
      </c>
      <c r="J257">
        <v>0.15</v>
      </c>
      <c r="K257" s="6">
        <v>3298</v>
      </c>
      <c r="L257" s="6">
        <v>1849.52</v>
      </c>
      <c r="M257" s="6">
        <v>1448.48</v>
      </c>
      <c r="N257" t="s">
        <v>32</v>
      </c>
    </row>
    <row r="258" spans="1:14" x14ac:dyDescent="0.45">
      <c r="A258">
        <v>1257</v>
      </c>
      <c r="B258" s="1">
        <v>46166</v>
      </c>
      <c r="C258" t="s">
        <v>14</v>
      </c>
      <c r="D258" t="s">
        <v>21</v>
      </c>
      <c r="E258" t="s">
        <v>16</v>
      </c>
      <c r="F258" t="s">
        <v>17</v>
      </c>
      <c r="G258" t="s">
        <v>18</v>
      </c>
      <c r="H258">
        <v>4</v>
      </c>
      <c r="I258" s="6">
        <v>1410</v>
      </c>
      <c r="J258">
        <v>0</v>
      </c>
      <c r="K258" s="6">
        <v>5640</v>
      </c>
      <c r="L258" s="6">
        <v>2957.64</v>
      </c>
      <c r="M258" s="6">
        <v>2682.36</v>
      </c>
      <c r="N258" t="s">
        <v>34</v>
      </c>
    </row>
    <row r="259" spans="1:14" x14ac:dyDescent="0.45">
      <c r="A259">
        <v>1258</v>
      </c>
      <c r="B259" s="1">
        <v>46167</v>
      </c>
      <c r="C259" t="s">
        <v>57</v>
      </c>
      <c r="D259" t="s">
        <v>21</v>
      </c>
      <c r="E259" t="s">
        <v>24</v>
      </c>
      <c r="F259" t="s">
        <v>30</v>
      </c>
      <c r="G259" t="s">
        <v>37</v>
      </c>
      <c r="H259">
        <v>2</v>
      </c>
      <c r="I259" s="6">
        <v>270</v>
      </c>
      <c r="J259">
        <v>0</v>
      </c>
      <c r="K259" s="6">
        <v>540</v>
      </c>
      <c r="L259" s="6">
        <v>314.25</v>
      </c>
      <c r="M259" s="6">
        <v>225.75</v>
      </c>
      <c r="N259" t="s">
        <v>34</v>
      </c>
    </row>
    <row r="260" spans="1:14" x14ac:dyDescent="0.45">
      <c r="A260">
        <v>1259</v>
      </c>
      <c r="B260" s="1">
        <v>46168</v>
      </c>
      <c r="C260" t="s">
        <v>22</v>
      </c>
      <c r="D260" t="s">
        <v>40</v>
      </c>
      <c r="E260" t="s">
        <v>16</v>
      </c>
      <c r="F260" t="s">
        <v>30</v>
      </c>
      <c r="G260" t="s">
        <v>31</v>
      </c>
      <c r="H260">
        <v>5</v>
      </c>
      <c r="I260" s="6">
        <v>570</v>
      </c>
      <c r="J260">
        <v>0.15</v>
      </c>
      <c r="K260" s="6">
        <v>2422.5</v>
      </c>
      <c r="L260" s="6">
        <v>1684.26</v>
      </c>
      <c r="M260" s="6">
        <v>738.24</v>
      </c>
      <c r="N260" t="s">
        <v>19</v>
      </c>
    </row>
    <row r="261" spans="1:14" x14ac:dyDescent="0.45">
      <c r="A261">
        <v>1260</v>
      </c>
      <c r="B261" s="1">
        <v>46169</v>
      </c>
      <c r="C261" t="s">
        <v>55</v>
      </c>
      <c r="D261" t="s">
        <v>21</v>
      </c>
      <c r="E261" t="s">
        <v>24</v>
      </c>
      <c r="F261" t="s">
        <v>17</v>
      </c>
      <c r="G261" t="s">
        <v>44</v>
      </c>
      <c r="H261">
        <v>5</v>
      </c>
      <c r="I261" s="6">
        <v>380</v>
      </c>
      <c r="J261">
        <v>0.15</v>
      </c>
      <c r="K261" s="6">
        <v>1615</v>
      </c>
      <c r="L261" s="6">
        <v>1113.33</v>
      </c>
      <c r="M261" s="6">
        <v>501.67</v>
      </c>
      <c r="N261" t="s">
        <v>34</v>
      </c>
    </row>
    <row r="262" spans="1:14" x14ac:dyDescent="0.45">
      <c r="A262">
        <v>1261</v>
      </c>
      <c r="B262" s="1">
        <v>46170</v>
      </c>
      <c r="C262" t="s">
        <v>98</v>
      </c>
      <c r="D262" t="s">
        <v>40</v>
      </c>
      <c r="E262" t="s">
        <v>16</v>
      </c>
      <c r="F262" t="s">
        <v>25</v>
      </c>
      <c r="G262" t="s">
        <v>45</v>
      </c>
      <c r="H262">
        <v>5</v>
      </c>
      <c r="I262" s="6">
        <v>400</v>
      </c>
      <c r="J262">
        <v>0.1</v>
      </c>
      <c r="K262" s="6">
        <v>1800</v>
      </c>
      <c r="L262" s="6">
        <v>938.56</v>
      </c>
      <c r="M262" s="6">
        <v>861.44</v>
      </c>
      <c r="N262" t="s">
        <v>34</v>
      </c>
    </row>
    <row r="263" spans="1:14" x14ac:dyDescent="0.45">
      <c r="A263">
        <v>1262</v>
      </c>
      <c r="B263" s="1">
        <v>46171</v>
      </c>
      <c r="C263" t="s">
        <v>78</v>
      </c>
      <c r="D263" t="s">
        <v>15</v>
      </c>
      <c r="E263" t="s">
        <v>29</v>
      </c>
      <c r="F263" t="s">
        <v>30</v>
      </c>
      <c r="G263" t="s">
        <v>31</v>
      </c>
      <c r="H263">
        <v>2</v>
      </c>
      <c r="I263" s="6">
        <v>390</v>
      </c>
      <c r="J263">
        <v>0.1</v>
      </c>
      <c r="K263" s="6">
        <v>702</v>
      </c>
      <c r="L263" s="6">
        <v>583.33000000000004</v>
      </c>
      <c r="M263" s="6">
        <v>118.67</v>
      </c>
      <c r="N263" t="s">
        <v>34</v>
      </c>
    </row>
    <row r="264" spans="1:14" x14ac:dyDescent="0.45">
      <c r="A264">
        <v>1263</v>
      </c>
      <c r="B264" s="1">
        <v>46172</v>
      </c>
      <c r="C264" t="s">
        <v>59</v>
      </c>
      <c r="D264" t="s">
        <v>28</v>
      </c>
      <c r="E264" t="s">
        <v>24</v>
      </c>
      <c r="F264" t="s">
        <v>17</v>
      </c>
      <c r="G264" t="s">
        <v>44</v>
      </c>
      <c r="H264">
        <v>1</v>
      </c>
      <c r="I264" s="6">
        <v>1610</v>
      </c>
      <c r="J264">
        <v>0.15</v>
      </c>
      <c r="K264" s="6">
        <v>1368.5</v>
      </c>
      <c r="L264" s="6">
        <v>883.21</v>
      </c>
      <c r="M264" s="6">
        <v>485.29</v>
      </c>
      <c r="N264" t="s">
        <v>19</v>
      </c>
    </row>
    <row r="265" spans="1:14" x14ac:dyDescent="0.45">
      <c r="A265">
        <v>1264</v>
      </c>
      <c r="B265" s="1">
        <v>46173</v>
      </c>
      <c r="C265" t="s">
        <v>59</v>
      </c>
      <c r="D265" t="s">
        <v>15</v>
      </c>
      <c r="E265" t="s">
        <v>29</v>
      </c>
      <c r="F265" t="s">
        <v>30</v>
      </c>
      <c r="G265" t="s">
        <v>31</v>
      </c>
      <c r="H265">
        <v>2</v>
      </c>
      <c r="I265" s="6">
        <v>1230</v>
      </c>
      <c r="J265">
        <v>0.05</v>
      </c>
      <c r="K265" s="6">
        <v>2337</v>
      </c>
      <c r="L265" s="6">
        <v>1299.08</v>
      </c>
      <c r="M265" s="6">
        <v>1037.92</v>
      </c>
      <c r="N265" t="s">
        <v>32</v>
      </c>
    </row>
    <row r="266" spans="1:14" x14ac:dyDescent="0.45">
      <c r="A266">
        <v>1265</v>
      </c>
      <c r="B266" s="1">
        <v>46174</v>
      </c>
      <c r="C266" t="s">
        <v>57</v>
      </c>
      <c r="D266" t="s">
        <v>40</v>
      </c>
      <c r="E266" t="s">
        <v>16</v>
      </c>
      <c r="F266" t="s">
        <v>17</v>
      </c>
      <c r="G266" t="s">
        <v>44</v>
      </c>
      <c r="H266">
        <v>4</v>
      </c>
      <c r="I266" s="6">
        <v>1030</v>
      </c>
      <c r="J266">
        <v>0.05</v>
      </c>
      <c r="K266" s="6">
        <v>3914</v>
      </c>
      <c r="L266" s="6">
        <v>3187.16</v>
      </c>
      <c r="M266" s="6">
        <v>726.84</v>
      </c>
      <c r="N266" t="s">
        <v>34</v>
      </c>
    </row>
    <row r="267" spans="1:14" x14ac:dyDescent="0.45">
      <c r="A267">
        <v>1266</v>
      </c>
      <c r="B267" s="1">
        <v>46175</v>
      </c>
      <c r="C267" t="s">
        <v>41</v>
      </c>
      <c r="D267" t="s">
        <v>23</v>
      </c>
      <c r="E267" t="s">
        <v>29</v>
      </c>
      <c r="F267" t="s">
        <v>30</v>
      </c>
      <c r="G267" t="s">
        <v>31</v>
      </c>
      <c r="H267">
        <v>5</v>
      </c>
      <c r="I267" s="6">
        <v>660</v>
      </c>
      <c r="J267">
        <v>0</v>
      </c>
      <c r="K267" s="6">
        <v>3300</v>
      </c>
      <c r="L267" s="6">
        <v>2847.81</v>
      </c>
      <c r="M267" s="6">
        <v>452.19</v>
      </c>
      <c r="N267" t="s">
        <v>19</v>
      </c>
    </row>
    <row r="268" spans="1:14" x14ac:dyDescent="0.45">
      <c r="A268">
        <v>1267</v>
      </c>
      <c r="B268" s="1">
        <v>46176</v>
      </c>
      <c r="C268" t="s">
        <v>105</v>
      </c>
      <c r="D268" t="s">
        <v>40</v>
      </c>
      <c r="E268" t="s">
        <v>42</v>
      </c>
      <c r="F268" t="s">
        <v>25</v>
      </c>
      <c r="G268" t="s">
        <v>45</v>
      </c>
      <c r="H268">
        <v>2</v>
      </c>
      <c r="I268" s="6">
        <v>1580</v>
      </c>
      <c r="J268">
        <v>0.05</v>
      </c>
      <c r="K268" s="6">
        <v>3002</v>
      </c>
      <c r="L268" s="6">
        <v>1561.53</v>
      </c>
      <c r="M268" s="6">
        <v>1440.47</v>
      </c>
      <c r="N268" t="s">
        <v>32</v>
      </c>
    </row>
    <row r="269" spans="1:14" x14ac:dyDescent="0.45">
      <c r="A269">
        <v>1268</v>
      </c>
      <c r="B269" s="1">
        <v>46177</v>
      </c>
      <c r="C269" t="s">
        <v>57</v>
      </c>
      <c r="D269" t="s">
        <v>15</v>
      </c>
      <c r="E269" t="s">
        <v>24</v>
      </c>
      <c r="F269" t="s">
        <v>25</v>
      </c>
      <c r="G269" t="s">
        <v>26</v>
      </c>
      <c r="H269">
        <v>4</v>
      </c>
      <c r="I269" s="6">
        <v>670</v>
      </c>
      <c r="J269">
        <v>0.1</v>
      </c>
      <c r="K269" s="6">
        <v>2412</v>
      </c>
      <c r="L269" s="6">
        <v>1642.69</v>
      </c>
      <c r="M269" s="6">
        <v>769.31</v>
      </c>
      <c r="N269" t="s">
        <v>32</v>
      </c>
    </row>
    <row r="270" spans="1:14" x14ac:dyDescent="0.45">
      <c r="A270">
        <v>1269</v>
      </c>
      <c r="B270" s="1">
        <v>46178</v>
      </c>
      <c r="C270" t="s">
        <v>60</v>
      </c>
      <c r="D270" t="s">
        <v>23</v>
      </c>
      <c r="E270" t="s">
        <v>16</v>
      </c>
      <c r="F270" t="s">
        <v>30</v>
      </c>
      <c r="G270" t="s">
        <v>37</v>
      </c>
      <c r="H270">
        <v>2</v>
      </c>
      <c r="I270" s="6">
        <v>1420</v>
      </c>
      <c r="J270">
        <v>0.1</v>
      </c>
      <c r="K270" s="6">
        <v>2556</v>
      </c>
      <c r="L270" s="6">
        <v>2100.41</v>
      </c>
      <c r="M270" s="6">
        <v>455.59</v>
      </c>
      <c r="N270" t="s">
        <v>34</v>
      </c>
    </row>
    <row r="271" spans="1:14" x14ac:dyDescent="0.45">
      <c r="A271">
        <v>1270</v>
      </c>
      <c r="B271" s="1">
        <v>46179</v>
      </c>
      <c r="C271" t="s">
        <v>91</v>
      </c>
      <c r="D271" t="s">
        <v>21</v>
      </c>
      <c r="E271" t="s">
        <v>42</v>
      </c>
      <c r="F271" t="s">
        <v>30</v>
      </c>
      <c r="G271" t="s">
        <v>31</v>
      </c>
      <c r="H271">
        <v>3</v>
      </c>
      <c r="I271" s="6">
        <v>1530</v>
      </c>
      <c r="J271">
        <v>0</v>
      </c>
      <c r="K271" s="6">
        <v>4590</v>
      </c>
      <c r="L271" s="6">
        <v>3731.65</v>
      </c>
      <c r="M271" s="6">
        <v>858.35</v>
      </c>
      <c r="N271" t="s">
        <v>34</v>
      </c>
    </row>
    <row r="272" spans="1:14" x14ac:dyDescent="0.45">
      <c r="A272">
        <v>1271</v>
      </c>
      <c r="B272" s="1">
        <v>46180</v>
      </c>
      <c r="C272" t="s">
        <v>113</v>
      </c>
      <c r="D272" t="s">
        <v>23</v>
      </c>
      <c r="E272" t="s">
        <v>16</v>
      </c>
      <c r="F272" t="s">
        <v>25</v>
      </c>
      <c r="G272" t="s">
        <v>45</v>
      </c>
      <c r="H272">
        <v>3</v>
      </c>
      <c r="I272" s="6">
        <v>550</v>
      </c>
      <c r="J272">
        <v>0.15</v>
      </c>
      <c r="K272" s="6">
        <v>1402.5</v>
      </c>
      <c r="L272" s="6">
        <v>858.32</v>
      </c>
      <c r="M272" s="6">
        <v>544.17999999999995</v>
      </c>
      <c r="N272" t="s">
        <v>19</v>
      </c>
    </row>
    <row r="273" spans="1:14" x14ac:dyDescent="0.45">
      <c r="A273">
        <v>1272</v>
      </c>
      <c r="B273" s="1">
        <v>46181</v>
      </c>
      <c r="C273" t="s">
        <v>91</v>
      </c>
      <c r="D273" t="s">
        <v>23</v>
      </c>
      <c r="E273" t="s">
        <v>16</v>
      </c>
      <c r="F273" t="s">
        <v>17</v>
      </c>
      <c r="G273" t="s">
        <v>18</v>
      </c>
      <c r="H273">
        <v>1</v>
      </c>
      <c r="I273" s="6">
        <v>900</v>
      </c>
      <c r="J273">
        <v>0</v>
      </c>
      <c r="K273" s="6">
        <v>900</v>
      </c>
      <c r="L273" s="6">
        <v>789.74</v>
      </c>
      <c r="M273" s="6">
        <v>110.26</v>
      </c>
      <c r="N273" t="s">
        <v>32</v>
      </c>
    </row>
    <row r="274" spans="1:14" x14ac:dyDescent="0.45">
      <c r="A274">
        <v>1273</v>
      </c>
      <c r="B274" s="1">
        <v>46182</v>
      </c>
      <c r="C274" t="s">
        <v>52</v>
      </c>
      <c r="D274" t="s">
        <v>28</v>
      </c>
      <c r="E274" t="s">
        <v>42</v>
      </c>
      <c r="F274" t="s">
        <v>30</v>
      </c>
      <c r="G274" t="s">
        <v>31</v>
      </c>
      <c r="H274">
        <v>3</v>
      </c>
      <c r="I274" s="6">
        <v>520</v>
      </c>
      <c r="J274">
        <v>0</v>
      </c>
      <c r="K274" s="6">
        <v>1560</v>
      </c>
      <c r="L274" s="6">
        <v>948.01</v>
      </c>
      <c r="M274" s="6">
        <v>611.99</v>
      </c>
      <c r="N274" t="s">
        <v>19</v>
      </c>
    </row>
    <row r="275" spans="1:14" x14ac:dyDescent="0.45">
      <c r="A275">
        <v>1274</v>
      </c>
      <c r="B275" s="1">
        <v>46183</v>
      </c>
      <c r="C275" t="s">
        <v>76</v>
      </c>
      <c r="D275" t="s">
        <v>28</v>
      </c>
      <c r="E275" t="s">
        <v>16</v>
      </c>
      <c r="F275" t="s">
        <v>25</v>
      </c>
      <c r="G275" t="s">
        <v>26</v>
      </c>
      <c r="H275">
        <v>3</v>
      </c>
      <c r="I275" s="6">
        <v>340</v>
      </c>
      <c r="J275">
        <v>0</v>
      </c>
      <c r="K275" s="6">
        <v>1020</v>
      </c>
      <c r="L275" s="6">
        <v>855.99</v>
      </c>
      <c r="M275" s="6">
        <v>164.01</v>
      </c>
      <c r="N275" t="s">
        <v>19</v>
      </c>
    </row>
    <row r="276" spans="1:14" x14ac:dyDescent="0.45">
      <c r="A276">
        <v>1275</v>
      </c>
      <c r="B276" s="1">
        <v>46184</v>
      </c>
      <c r="C276" t="s">
        <v>104</v>
      </c>
      <c r="D276" t="s">
        <v>28</v>
      </c>
      <c r="E276" t="s">
        <v>16</v>
      </c>
      <c r="F276" t="s">
        <v>25</v>
      </c>
      <c r="G276" t="s">
        <v>45</v>
      </c>
      <c r="H276">
        <v>1</v>
      </c>
      <c r="I276" s="6">
        <v>860</v>
      </c>
      <c r="J276">
        <v>0</v>
      </c>
      <c r="K276" s="6">
        <v>860</v>
      </c>
      <c r="L276" s="6">
        <v>441.54</v>
      </c>
      <c r="M276" s="6">
        <v>418.46</v>
      </c>
      <c r="N276" t="s">
        <v>34</v>
      </c>
    </row>
    <row r="277" spans="1:14" x14ac:dyDescent="0.45">
      <c r="A277">
        <v>1276</v>
      </c>
      <c r="B277" s="1">
        <v>46185</v>
      </c>
      <c r="C277" t="s">
        <v>100</v>
      </c>
      <c r="D277" t="s">
        <v>28</v>
      </c>
      <c r="E277" t="s">
        <v>42</v>
      </c>
      <c r="F277" t="s">
        <v>30</v>
      </c>
      <c r="G277" t="s">
        <v>37</v>
      </c>
      <c r="H277">
        <v>3</v>
      </c>
      <c r="I277" s="6">
        <v>1110</v>
      </c>
      <c r="J277">
        <v>0.05</v>
      </c>
      <c r="K277" s="6">
        <v>3163.5</v>
      </c>
      <c r="L277" s="6">
        <v>2019.33</v>
      </c>
      <c r="M277" s="6">
        <v>1144.17</v>
      </c>
      <c r="N277" t="s">
        <v>32</v>
      </c>
    </row>
    <row r="278" spans="1:14" x14ac:dyDescent="0.45">
      <c r="A278">
        <v>1277</v>
      </c>
      <c r="B278" s="1">
        <v>46186</v>
      </c>
      <c r="C278" t="s">
        <v>105</v>
      </c>
      <c r="D278" t="s">
        <v>40</v>
      </c>
      <c r="E278" t="s">
        <v>16</v>
      </c>
      <c r="F278" t="s">
        <v>30</v>
      </c>
      <c r="G278" t="s">
        <v>31</v>
      </c>
      <c r="H278">
        <v>4</v>
      </c>
      <c r="I278" s="6">
        <v>830</v>
      </c>
      <c r="J278">
        <v>0.1</v>
      </c>
      <c r="K278" s="6">
        <v>2988</v>
      </c>
      <c r="L278" s="6">
        <v>1525.8</v>
      </c>
      <c r="M278" s="6">
        <v>1462.2</v>
      </c>
      <c r="N278" t="s">
        <v>34</v>
      </c>
    </row>
    <row r="279" spans="1:14" x14ac:dyDescent="0.45">
      <c r="A279">
        <v>1278</v>
      </c>
      <c r="B279" s="1">
        <v>46187</v>
      </c>
      <c r="C279" t="s">
        <v>106</v>
      </c>
      <c r="D279" t="s">
        <v>15</v>
      </c>
      <c r="E279" t="s">
        <v>16</v>
      </c>
      <c r="F279" t="s">
        <v>30</v>
      </c>
      <c r="G279" t="s">
        <v>31</v>
      </c>
      <c r="H279">
        <v>4</v>
      </c>
      <c r="I279" s="6">
        <v>1570</v>
      </c>
      <c r="J279">
        <v>0.15</v>
      </c>
      <c r="K279" s="6">
        <v>5338</v>
      </c>
      <c r="L279" s="6">
        <v>4019.72</v>
      </c>
      <c r="M279" s="6">
        <v>1318.28</v>
      </c>
      <c r="N279" t="s">
        <v>32</v>
      </c>
    </row>
    <row r="280" spans="1:14" x14ac:dyDescent="0.45">
      <c r="A280">
        <v>1279</v>
      </c>
      <c r="B280" s="1">
        <v>46188</v>
      </c>
      <c r="C280" t="s">
        <v>72</v>
      </c>
      <c r="D280" t="s">
        <v>21</v>
      </c>
      <c r="E280" t="s">
        <v>29</v>
      </c>
      <c r="F280" t="s">
        <v>25</v>
      </c>
      <c r="G280" t="s">
        <v>45</v>
      </c>
      <c r="H280">
        <v>3</v>
      </c>
      <c r="I280" s="6">
        <v>1710</v>
      </c>
      <c r="J280">
        <v>0.05</v>
      </c>
      <c r="K280" s="6">
        <v>4873.5</v>
      </c>
      <c r="L280" s="6">
        <v>4030.59</v>
      </c>
      <c r="M280" s="6">
        <v>842.91</v>
      </c>
      <c r="N280" t="s">
        <v>32</v>
      </c>
    </row>
    <row r="281" spans="1:14" x14ac:dyDescent="0.45">
      <c r="A281">
        <v>1280</v>
      </c>
      <c r="B281" s="1">
        <v>46189</v>
      </c>
      <c r="C281" t="s">
        <v>89</v>
      </c>
      <c r="D281" t="s">
        <v>28</v>
      </c>
      <c r="E281" t="s">
        <v>29</v>
      </c>
      <c r="F281" t="s">
        <v>30</v>
      </c>
      <c r="G281" t="s">
        <v>37</v>
      </c>
      <c r="H281">
        <v>2</v>
      </c>
      <c r="I281" s="6">
        <v>970</v>
      </c>
      <c r="J281">
        <v>0.15</v>
      </c>
      <c r="K281" s="6">
        <v>1649</v>
      </c>
      <c r="L281" s="6">
        <v>969.1</v>
      </c>
      <c r="M281" s="6">
        <v>679.9</v>
      </c>
      <c r="N281" t="s">
        <v>32</v>
      </c>
    </row>
    <row r="282" spans="1:14" x14ac:dyDescent="0.45">
      <c r="A282">
        <v>1281</v>
      </c>
      <c r="B282" s="1">
        <v>46190</v>
      </c>
      <c r="C282" t="s">
        <v>14</v>
      </c>
      <c r="D282" t="s">
        <v>15</v>
      </c>
      <c r="E282" t="s">
        <v>29</v>
      </c>
      <c r="F282" t="s">
        <v>25</v>
      </c>
      <c r="G282" t="s">
        <v>45</v>
      </c>
      <c r="H282">
        <v>1</v>
      </c>
      <c r="I282" s="6">
        <v>1870</v>
      </c>
      <c r="J282">
        <v>0</v>
      </c>
      <c r="K282" s="6">
        <v>1870</v>
      </c>
      <c r="L282" s="6">
        <v>1322.55</v>
      </c>
      <c r="M282" s="6">
        <v>547.45000000000005</v>
      </c>
      <c r="N282" t="s">
        <v>19</v>
      </c>
    </row>
    <row r="283" spans="1:14" x14ac:dyDescent="0.45">
      <c r="A283">
        <v>1282</v>
      </c>
      <c r="B283" s="1">
        <v>46191</v>
      </c>
      <c r="C283" t="s">
        <v>93</v>
      </c>
      <c r="D283" t="s">
        <v>40</v>
      </c>
      <c r="E283" t="s">
        <v>24</v>
      </c>
      <c r="F283" t="s">
        <v>25</v>
      </c>
      <c r="G283" t="s">
        <v>45</v>
      </c>
      <c r="H283">
        <v>1</v>
      </c>
      <c r="I283" s="6">
        <v>1970</v>
      </c>
      <c r="J283">
        <v>0.05</v>
      </c>
      <c r="K283" s="6">
        <v>1871.5</v>
      </c>
      <c r="L283" s="6">
        <v>1272.7</v>
      </c>
      <c r="M283" s="6">
        <v>598.79999999999995</v>
      </c>
      <c r="N283" t="s">
        <v>19</v>
      </c>
    </row>
    <row r="284" spans="1:14" x14ac:dyDescent="0.45">
      <c r="A284">
        <v>1283</v>
      </c>
      <c r="B284" s="1">
        <v>46192</v>
      </c>
      <c r="C284" t="s">
        <v>61</v>
      </c>
      <c r="D284" t="s">
        <v>28</v>
      </c>
      <c r="E284" t="s">
        <v>42</v>
      </c>
      <c r="F284" t="s">
        <v>25</v>
      </c>
      <c r="G284" t="s">
        <v>45</v>
      </c>
      <c r="H284">
        <v>5</v>
      </c>
      <c r="I284" s="6">
        <v>430</v>
      </c>
      <c r="J284">
        <v>0.1</v>
      </c>
      <c r="K284" s="6">
        <v>1935</v>
      </c>
      <c r="L284" s="6">
        <v>1180.9000000000001</v>
      </c>
      <c r="M284" s="6">
        <v>754.1</v>
      </c>
      <c r="N284" t="s">
        <v>32</v>
      </c>
    </row>
    <row r="285" spans="1:14" x14ac:dyDescent="0.45">
      <c r="A285">
        <v>1284</v>
      </c>
      <c r="B285" s="1">
        <v>46193</v>
      </c>
      <c r="C285" t="s">
        <v>112</v>
      </c>
      <c r="D285" t="s">
        <v>15</v>
      </c>
      <c r="E285" t="s">
        <v>16</v>
      </c>
      <c r="F285" t="s">
        <v>30</v>
      </c>
      <c r="G285" t="s">
        <v>37</v>
      </c>
      <c r="H285">
        <v>3</v>
      </c>
      <c r="I285" s="6">
        <v>1500</v>
      </c>
      <c r="J285">
        <v>0.1</v>
      </c>
      <c r="K285" s="6">
        <v>4050</v>
      </c>
      <c r="L285" s="6">
        <v>3481.82</v>
      </c>
      <c r="M285" s="6">
        <v>568.17999999999995</v>
      </c>
      <c r="N285" t="s">
        <v>34</v>
      </c>
    </row>
    <row r="286" spans="1:14" x14ac:dyDescent="0.45">
      <c r="A286">
        <v>1285</v>
      </c>
      <c r="B286" s="1">
        <v>46194</v>
      </c>
      <c r="C286" t="s">
        <v>57</v>
      </c>
      <c r="D286" t="s">
        <v>28</v>
      </c>
      <c r="E286" t="s">
        <v>16</v>
      </c>
      <c r="F286" t="s">
        <v>17</v>
      </c>
      <c r="G286" t="s">
        <v>44</v>
      </c>
      <c r="H286">
        <v>1</v>
      </c>
      <c r="I286" s="6">
        <v>410</v>
      </c>
      <c r="J286">
        <v>0.1</v>
      </c>
      <c r="K286" s="6">
        <v>369</v>
      </c>
      <c r="L286" s="6">
        <v>318.47000000000003</v>
      </c>
      <c r="M286" s="6">
        <v>50.53</v>
      </c>
      <c r="N286" t="s">
        <v>32</v>
      </c>
    </row>
    <row r="287" spans="1:14" x14ac:dyDescent="0.45">
      <c r="A287">
        <v>1286</v>
      </c>
      <c r="B287" s="1">
        <v>46195</v>
      </c>
      <c r="C287" t="s">
        <v>64</v>
      </c>
      <c r="D287" t="s">
        <v>21</v>
      </c>
      <c r="E287" t="s">
        <v>42</v>
      </c>
      <c r="F287" t="s">
        <v>25</v>
      </c>
      <c r="G287" t="s">
        <v>26</v>
      </c>
      <c r="H287">
        <v>1</v>
      </c>
      <c r="I287" s="6">
        <v>1870</v>
      </c>
      <c r="J287">
        <v>0.15</v>
      </c>
      <c r="K287" s="6">
        <v>1589.5</v>
      </c>
      <c r="L287" s="6">
        <v>1092.23</v>
      </c>
      <c r="M287" s="6">
        <v>497.27</v>
      </c>
      <c r="N287" t="s">
        <v>32</v>
      </c>
    </row>
    <row r="288" spans="1:14" x14ac:dyDescent="0.45">
      <c r="A288">
        <v>1287</v>
      </c>
      <c r="B288" s="1">
        <v>46196</v>
      </c>
      <c r="C288" t="s">
        <v>76</v>
      </c>
      <c r="D288" t="s">
        <v>23</v>
      </c>
      <c r="E288" t="s">
        <v>42</v>
      </c>
      <c r="F288" t="s">
        <v>25</v>
      </c>
      <c r="G288" t="s">
        <v>45</v>
      </c>
      <c r="H288">
        <v>3</v>
      </c>
      <c r="I288" s="6">
        <v>1410</v>
      </c>
      <c r="J288">
        <v>0.15</v>
      </c>
      <c r="K288" s="6">
        <v>3595.5</v>
      </c>
      <c r="L288" s="6">
        <v>2382.85</v>
      </c>
      <c r="M288" s="6">
        <v>1212.6500000000001</v>
      </c>
      <c r="N288" t="s">
        <v>34</v>
      </c>
    </row>
    <row r="289" spans="1:14" x14ac:dyDescent="0.45">
      <c r="A289">
        <v>1288</v>
      </c>
      <c r="B289" s="1">
        <v>46197</v>
      </c>
      <c r="C289" t="s">
        <v>106</v>
      </c>
      <c r="D289" t="s">
        <v>23</v>
      </c>
      <c r="E289" t="s">
        <v>42</v>
      </c>
      <c r="F289" t="s">
        <v>25</v>
      </c>
      <c r="G289" t="s">
        <v>45</v>
      </c>
      <c r="H289">
        <v>5</v>
      </c>
      <c r="I289" s="6">
        <v>480</v>
      </c>
      <c r="J289">
        <v>0.05</v>
      </c>
      <c r="K289" s="6">
        <v>2280</v>
      </c>
      <c r="L289" s="6">
        <v>1248.32</v>
      </c>
      <c r="M289" s="6">
        <v>1031.68</v>
      </c>
      <c r="N289" t="s">
        <v>32</v>
      </c>
    </row>
    <row r="290" spans="1:14" x14ac:dyDescent="0.45">
      <c r="A290">
        <v>1289</v>
      </c>
      <c r="B290" s="1">
        <v>46198</v>
      </c>
      <c r="C290" t="s">
        <v>67</v>
      </c>
      <c r="D290" t="s">
        <v>40</v>
      </c>
      <c r="E290" t="s">
        <v>42</v>
      </c>
      <c r="F290" t="s">
        <v>25</v>
      </c>
      <c r="G290" t="s">
        <v>45</v>
      </c>
      <c r="H290">
        <v>3</v>
      </c>
      <c r="I290" s="6">
        <v>1350</v>
      </c>
      <c r="J290">
        <v>0</v>
      </c>
      <c r="K290" s="6">
        <v>4050</v>
      </c>
      <c r="L290" s="6">
        <v>3046.92</v>
      </c>
      <c r="M290" s="6">
        <v>1003.08</v>
      </c>
      <c r="N290" t="s">
        <v>32</v>
      </c>
    </row>
    <row r="291" spans="1:14" x14ac:dyDescent="0.45">
      <c r="A291">
        <v>1290</v>
      </c>
      <c r="B291" s="1">
        <v>46199</v>
      </c>
      <c r="C291" t="s">
        <v>61</v>
      </c>
      <c r="D291" t="s">
        <v>15</v>
      </c>
      <c r="E291" t="s">
        <v>24</v>
      </c>
      <c r="F291" t="s">
        <v>30</v>
      </c>
      <c r="G291" t="s">
        <v>37</v>
      </c>
      <c r="H291">
        <v>1</v>
      </c>
      <c r="I291" s="6">
        <v>1860</v>
      </c>
      <c r="J291">
        <v>0.1</v>
      </c>
      <c r="K291" s="6">
        <v>1674</v>
      </c>
      <c r="L291" s="6">
        <v>1242.32</v>
      </c>
      <c r="M291" s="6">
        <v>431.68</v>
      </c>
      <c r="N291" t="s">
        <v>19</v>
      </c>
    </row>
    <row r="292" spans="1:14" x14ac:dyDescent="0.45">
      <c r="A292">
        <v>1291</v>
      </c>
      <c r="B292" s="1">
        <v>46200</v>
      </c>
      <c r="C292" t="s">
        <v>47</v>
      </c>
      <c r="D292" t="s">
        <v>28</v>
      </c>
      <c r="E292" t="s">
        <v>24</v>
      </c>
      <c r="F292" t="s">
        <v>17</v>
      </c>
      <c r="G292" t="s">
        <v>44</v>
      </c>
      <c r="H292">
        <v>3</v>
      </c>
      <c r="I292" s="6">
        <v>520</v>
      </c>
      <c r="J292">
        <v>0</v>
      </c>
      <c r="K292" s="6">
        <v>1560</v>
      </c>
      <c r="L292" s="6">
        <v>1071.27</v>
      </c>
      <c r="M292" s="6">
        <v>488.73</v>
      </c>
      <c r="N292" t="s">
        <v>19</v>
      </c>
    </row>
    <row r="293" spans="1:14" x14ac:dyDescent="0.45">
      <c r="A293">
        <v>1292</v>
      </c>
      <c r="B293" s="1">
        <v>46201</v>
      </c>
      <c r="C293" t="s">
        <v>20</v>
      </c>
      <c r="D293" t="s">
        <v>15</v>
      </c>
      <c r="E293" t="s">
        <v>29</v>
      </c>
      <c r="F293" t="s">
        <v>17</v>
      </c>
      <c r="G293" t="s">
        <v>44</v>
      </c>
      <c r="H293">
        <v>4</v>
      </c>
      <c r="I293" s="6">
        <v>1840</v>
      </c>
      <c r="J293">
        <v>0.05</v>
      </c>
      <c r="K293" s="6">
        <v>6992</v>
      </c>
      <c r="L293" s="6">
        <v>3587.58</v>
      </c>
      <c r="M293" s="6">
        <v>3404.42</v>
      </c>
      <c r="N293" t="s">
        <v>34</v>
      </c>
    </row>
    <row r="294" spans="1:14" x14ac:dyDescent="0.45">
      <c r="A294">
        <v>1293</v>
      </c>
      <c r="B294" s="1">
        <v>46202</v>
      </c>
      <c r="C294" t="s">
        <v>60</v>
      </c>
      <c r="D294" t="s">
        <v>21</v>
      </c>
      <c r="E294" t="s">
        <v>42</v>
      </c>
      <c r="F294" t="s">
        <v>25</v>
      </c>
      <c r="G294" t="s">
        <v>45</v>
      </c>
      <c r="H294">
        <v>3</v>
      </c>
      <c r="I294" s="6">
        <v>1940</v>
      </c>
      <c r="J294">
        <v>0.15</v>
      </c>
      <c r="K294" s="6">
        <v>4947</v>
      </c>
      <c r="L294" s="6">
        <v>3886.01</v>
      </c>
      <c r="M294" s="6">
        <v>1060.99</v>
      </c>
      <c r="N294" t="s">
        <v>32</v>
      </c>
    </row>
    <row r="295" spans="1:14" x14ac:dyDescent="0.45">
      <c r="A295">
        <v>1294</v>
      </c>
      <c r="B295" s="1">
        <v>46203</v>
      </c>
      <c r="C295" t="s">
        <v>75</v>
      </c>
      <c r="D295" t="s">
        <v>21</v>
      </c>
      <c r="E295" t="s">
        <v>16</v>
      </c>
      <c r="F295" t="s">
        <v>30</v>
      </c>
      <c r="G295" t="s">
        <v>31</v>
      </c>
      <c r="H295">
        <v>4</v>
      </c>
      <c r="I295" s="6">
        <v>1320</v>
      </c>
      <c r="J295">
        <v>0</v>
      </c>
      <c r="K295" s="6">
        <v>5280</v>
      </c>
      <c r="L295" s="6">
        <v>3265.98</v>
      </c>
      <c r="M295" s="6">
        <v>2014.02</v>
      </c>
      <c r="N295" t="s">
        <v>32</v>
      </c>
    </row>
    <row r="296" spans="1:14" x14ac:dyDescent="0.45">
      <c r="A296">
        <v>1295</v>
      </c>
      <c r="B296" s="1">
        <v>46204</v>
      </c>
      <c r="C296" t="s">
        <v>57</v>
      </c>
      <c r="D296" t="s">
        <v>40</v>
      </c>
      <c r="E296" t="s">
        <v>24</v>
      </c>
      <c r="F296" t="s">
        <v>25</v>
      </c>
      <c r="G296" t="s">
        <v>26</v>
      </c>
      <c r="H296">
        <v>4</v>
      </c>
      <c r="I296" s="6">
        <v>1110</v>
      </c>
      <c r="J296">
        <v>0.15</v>
      </c>
      <c r="K296" s="6">
        <v>3774</v>
      </c>
      <c r="L296" s="6">
        <v>2807.43</v>
      </c>
      <c r="M296" s="6">
        <v>966.57</v>
      </c>
      <c r="N296" t="s">
        <v>34</v>
      </c>
    </row>
    <row r="297" spans="1:14" x14ac:dyDescent="0.45">
      <c r="A297">
        <v>1296</v>
      </c>
      <c r="B297" s="1">
        <v>46205</v>
      </c>
      <c r="C297" t="s">
        <v>53</v>
      </c>
      <c r="D297" t="s">
        <v>21</v>
      </c>
      <c r="E297" t="s">
        <v>42</v>
      </c>
      <c r="F297" t="s">
        <v>25</v>
      </c>
      <c r="G297" t="s">
        <v>45</v>
      </c>
      <c r="H297">
        <v>1</v>
      </c>
      <c r="I297" s="6">
        <v>1700</v>
      </c>
      <c r="J297">
        <v>0.1</v>
      </c>
      <c r="K297" s="6">
        <v>1530</v>
      </c>
      <c r="L297" s="6">
        <v>1005.33</v>
      </c>
      <c r="M297" s="6">
        <v>524.66999999999996</v>
      </c>
      <c r="N297" t="s">
        <v>19</v>
      </c>
    </row>
    <row r="298" spans="1:14" x14ac:dyDescent="0.45">
      <c r="A298">
        <v>1297</v>
      </c>
      <c r="B298" s="1">
        <v>46206</v>
      </c>
      <c r="C298" t="s">
        <v>80</v>
      </c>
      <c r="D298" t="s">
        <v>40</v>
      </c>
      <c r="E298" t="s">
        <v>29</v>
      </c>
      <c r="F298" t="s">
        <v>30</v>
      </c>
      <c r="G298" t="s">
        <v>31</v>
      </c>
      <c r="H298">
        <v>3</v>
      </c>
      <c r="I298" s="6">
        <v>1240</v>
      </c>
      <c r="J298">
        <v>0.1</v>
      </c>
      <c r="K298" s="6">
        <v>3348</v>
      </c>
      <c r="L298" s="6">
        <v>1730.93</v>
      </c>
      <c r="M298" s="6">
        <v>1617.07</v>
      </c>
      <c r="N298" t="s">
        <v>34</v>
      </c>
    </row>
    <row r="299" spans="1:14" x14ac:dyDescent="0.45">
      <c r="A299">
        <v>1298</v>
      </c>
      <c r="B299" s="1">
        <v>46207</v>
      </c>
      <c r="C299" t="s">
        <v>81</v>
      </c>
      <c r="D299" t="s">
        <v>40</v>
      </c>
      <c r="E299" t="s">
        <v>42</v>
      </c>
      <c r="F299" t="s">
        <v>25</v>
      </c>
      <c r="G299" t="s">
        <v>26</v>
      </c>
      <c r="H299">
        <v>1</v>
      </c>
      <c r="I299" s="6">
        <v>1120</v>
      </c>
      <c r="J299">
        <v>0.1</v>
      </c>
      <c r="K299" s="6">
        <v>1008</v>
      </c>
      <c r="L299" s="6">
        <v>646.6</v>
      </c>
      <c r="M299" s="6">
        <v>361.4</v>
      </c>
      <c r="N299" t="s">
        <v>34</v>
      </c>
    </row>
    <row r="300" spans="1:14" x14ac:dyDescent="0.45">
      <c r="A300">
        <v>1299</v>
      </c>
      <c r="B300" s="1">
        <v>46208</v>
      </c>
      <c r="C300" t="s">
        <v>96</v>
      </c>
      <c r="D300" t="s">
        <v>15</v>
      </c>
      <c r="E300" t="s">
        <v>42</v>
      </c>
      <c r="F300" t="s">
        <v>17</v>
      </c>
      <c r="G300" t="s">
        <v>18</v>
      </c>
      <c r="H300">
        <v>5</v>
      </c>
      <c r="I300" s="6">
        <v>1280</v>
      </c>
      <c r="J300">
        <v>0</v>
      </c>
      <c r="K300" s="6">
        <v>6400</v>
      </c>
      <c r="L300" s="6">
        <v>4427.01</v>
      </c>
      <c r="M300" s="6">
        <v>1972.99</v>
      </c>
      <c r="N300" t="s">
        <v>32</v>
      </c>
    </row>
    <row r="301" spans="1:14" x14ac:dyDescent="0.45">
      <c r="A301">
        <v>1300</v>
      </c>
      <c r="B301" s="1">
        <v>46209</v>
      </c>
      <c r="C301" t="s">
        <v>65</v>
      </c>
      <c r="D301" t="s">
        <v>23</v>
      </c>
      <c r="E301" t="s">
        <v>16</v>
      </c>
      <c r="F301" t="s">
        <v>30</v>
      </c>
      <c r="G301" t="s">
        <v>37</v>
      </c>
      <c r="H301">
        <v>4</v>
      </c>
      <c r="I301" s="6">
        <v>1740</v>
      </c>
      <c r="J301">
        <v>0.1</v>
      </c>
      <c r="K301" s="6">
        <v>6264</v>
      </c>
      <c r="L301" s="6">
        <v>5268.4</v>
      </c>
      <c r="M301" s="6">
        <v>995.6</v>
      </c>
      <c r="N301" t="s">
        <v>34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4A05-7E9A-4D19-8DD2-DD152570FE22}">
  <dimension ref="A4:H73"/>
  <sheetViews>
    <sheetView workbookViewId="0">
      <selection activeCell="H23" sqref="H23"/>
    </sheetView>
  </sheetViews>
  <sheetFormatPr defaultRowHeight="14.25" x14ac:dyDescent="0.45"/>
  <cols>
    <col min="1" max="1" width="14.1328125" customWidth="1"/>
    <col min="2" max="2" width="14.73046875" customWidth="1"/>
    <col min="3" max="8" width="11.3984375" customWidth="1"/>
  </cols>
  <sheetData>
    <row r="4" spans="1:2" x14ac:dyDescent="0.45">
      <c r="A4" s="2" t="s">
        <v>118</v>
      </c>
      <c r="B4" t="s">
        <v>120</v>
      </c>
    </row>
    <row r="5" spans="1:2" x14ac:dyDescent="0.45">
      <c r="A5" s="3" t="s">
        <v>25</v>
      </c>
      <c r="B5" s="7">
        <v>285230.5</v>
      </c>
    </row>
    <row r="6" spans="1:2" x14ac:dyDescent="0.45">
      <c r="A6" s="3" t="s">
        <v>17</v>
      </c>
      <c r="B6" s="7">
        <v>334155</v>
      </c>
    </row>
    <row r="7" spans="1:2" x14ac:dyDescent="0.45">
      <c r="A7" s="3" t="s">
        <v>30</v>
      </c>
      <c r="B7" s="7">
        <v>280117.5</v>
      </c>
    </row>
    <row r="8" spans="1:2" x14ac:dyDescent="0.45">
      <c r="A8" s="3" t="s">
        <v>119</v>
      </c>
      <c r="B8" s="7">
        <v>899503</v>
      </c>
    </row>
    <row r="11" spans="1:2" x14ac:dyDescent="0.45">
      <c r="A11" s="2" t="s">
        <v>118</v>
      </c>
      <c r="B11" t="s">
        <v>117</v>
      </c>
    </row>
    <row r="12" spans="1:2" x14ac:dyDescent="0.45">
      <c r="A12" s="3" t="s">
        <v>15</v>
      </c>
      <c r="B12" s="7">
        <v>62404.909999999982</v>
      </c>
    </row>
    <row r="13" spans="1:2" x14ac:dyDescent="0.45">
      <c r="A13" s="3" t="s">
        <v>28</v>
      </c>
      <c r="B13" s="7">
        <v>58472.689999999995</v>
      </c>
    </row>
    <row r="14" spans="1:2" x14ac:dyDescent="0.45">
      <c r="A14" s="3" t="s">
        <v>21</v>
      </c>
      <c r="B14" s="7">
        <v>56001.840000000004</v>
      </c>
    </row>
    <row r="15" spans="1:2" x14ac:dyDescent="0.45">
      <c r="A15" s="3" t="s">
        <v>40</v>
      </c>
      <c r="B15" s="7">
        <v>48498.029999999992</v>
      </c>
    </row>
    <row r="16" spans="1:2" x14ac:dyDescent="0.45">
      <c r="A16" s="3" t="s">
        <v>23</v>
      </c>
      <c r="B16" s="7">
        <v>44235.060000000012</v>
      </c>
    </row>
    <row r="17" spans="1:8" x14ac:dyDescent="0.45">
      <c r="A17" s="3" t="s">
        <v>119</v>
      </c>
      <c r="B17" s="7">
        <v>269612.53000000003</v>
      </c>
    </row>
    <row r="20" spans="1:8" x14ac:dyDescent="0.45">
      <c r="A20" s="2" t="s">
        <v>118</v>
      </c>
      <c r="B20" t="s">
        <v>117</v>
      </c>
    </row>
    <row r="21" spans="1:8" x14ac:dyDescent="0.45">
      <c r="A21" s="3" t="s">
        <v>31</v>
      </c>
      <c r="B21" s="7">
        <v>57321.17</v>
      </c>
    </row>
    <row r="22" spans="1:8" x14ac:dyDescent="0.45">
      <c r="A22" s="3" t="s">
        <v>44</v>
      </c>
      <c r="B22" s="7">
        <v>54033.149999999994</v>
      </c>
    </row>
    <row r="23" spans="1:8" x14ac:dyDescent="0.45">
      <c r="A23" s="3" t="s">
        <v>18</v>
      </c>
      <c r="B23" s="7">
        <v>44194.94</v>
      </c>
    </row>
    <row r="24" spans="1:8" x14ac:dyDescent="0.45">
      <c r="A24" s="3" t="s">
        <v>45</v>
      </c>
      <c r="B24" s="7">
        <v>43941.43</v>
      </c>
    </row>
    <row r="25" spans="1:8" x14ac:dyDescent="0.45">
      <c r="A25" s="3" t="s">
        <v>26</v>
      </c>
      <c r="B25" s="7">
        <v>38368.479999999989</v>
      </c>
    </row>
    <row r="26" spans="1:8" x14ac:dyDescent="0.45">
      <c r="A26" s="3" t="s">
        <v>37</v>
      </c>
      <c r="B26" s="7">
        <v>31753.360000000008</v>
      </c>
    </row>
    <row r="27" spans="1:8" x14ac:dyDescent="0.45">
      <c r="A27" s="3" t="s">
        <v>119</v>
      </c>
      <c r="B27" s="7">
        <v>269612.53000000003</v>
      </c>
    </row>
    <row r="30" spans="1:8" x14ac:dyDescent="0.45">
      <c r="A30" s="2" t="s">
        <v>120</v>
      </c>
      <c r="B30" s="2" t="s">
        <v>121</v>
      </c>
    </row>
    <row r="31" spans="1:8" x14ac:dyDescent="0.45">
      <c r="A31" s="2" t="s">
        <v>118</v>
      </c>
      <c r="B31" t="s">
        <v>44</v>
      </c>
      <c r="C31" t="s">
        <v>18</v>
      </c>
      <c r="D31" t="s">
        <v>31</v>
      </c>
      <c r="E31" t="s">
        <v>37</v>
      </c>
      <c r="F31" t="s">
        <v>26</v>
      </c>
      <c r="G31" t="s">
        <v>45</v>
      </c>
      <c r="H31" t="s">
        <v>119</v>
      </c>
    </row>
    <row r="32" spans="1:8" x14ac:dyDescent="0.45">
      <c r="A32" s="3" t="s">
        <v>16</v>
      </c>
      <c r="B32" s="7">
        <v>44618.5</v>
      </c>
      <c r="C32" s="7">
        <v>33233.5</v>
      </c>
      <c r="D32" s="7">
        <v>44718</v>
      </c>
      <c r="E32" s="7">
        <v>49496</v>
      </c>
      <c r="F32" s="7">
        <v>52417</v>
      </c>
      <c r="G32" s="7">
        <v>47735</v>
      </c>
      <c r="H32" s="7">
        <v>272218</v>
      </c>
    </row>
    <row r="33" spans="1:8" x14ac:dyDescent="0.45">
      <c r="A33" s="3" t="s">
        <v>42</v>
      </c>
      <c r="B33" s="7">
        <v>53182.5</v>
      </c>
      <c r="C33" s="7">
        <v>62313.5</v>
      </c>
      <c r="D33" s="7">
        <v>44655</v>
      </c>
      <c r="E33" s="7">
        <v>27702.5</v>
      </c>
      <c r="F33" s="7">
        <v>24721.5</v>
      </c>
      <c r="G33" s="7">
        <v>45925.5</v>
      </c>
      <c r="H33" s="7">
        <v>258500.5</v>
      </c>
    </row>
    <row r="34" spans="1:8" x14ac:dyDescent="0.45">
      <c r="A34" s="3" t="s">
        <v>24</v>
      </c>
      <c r="B34" s="7">
        <v>38099</v>
      </c>
      <c r="C34" s="7">
        <v>32715</v>
      </c>
      <c r="D34" s="7">
        <v>34100.5</v>
      </c>
      <c r="E34" s="7">
        <v>23925</v>
      </c>
      <c r="F34" s="7">
        <v>33821</v>
      </c>
      <c r="G34" s="7">
        <v>22544</v>
      </c>
      <c r="H34" s="7">
        <v>185204.5</v>
      </c>
    </row>
    <row r="35" spans="1:8" x14ac:dyDescent="0.45">
      <c r="A35" s="3" t="s">
        <v>29</v>
      </c>
      <c r="B35" s="7">
        <v>44525.5</v>
      </c>
      <c r="C35" s="7">
        <v>25467.5</v>
      </c>
      <c r="D35" s="7">
        <v>45646.5</v>
      </c>
      <c r="E35" s="7">
        <v>9874</v>
      </c>
      <c r="F35" s="7">
        <v>26686</v>
      </c>
      <c r="G35" s="7">
        <v>31380.5</v>
      </c>
      <c r="H35" s="7">
        <v>183580</v>
      </c>
    </row>
    <row r="36" spans="1:8" x14ac:dyDescent="0.45">
      <c r="A36" s="3" t="s">
        <v>119</v>
      </c>
      <c r="B36" s="7">
        <v>180425.5</v>
      </c>
      <c r="C36" s="7">
        <v>153729.5</v>
      </c>
      <c r="D36" s="7">
        <v>169120</v>
      </c>
      <c r="E36" s="7">
        <v>110997.5</v>
      </c>
      <c r="F36" s="7">
        <v>137645.5</v>
      </c>
      <c r="G36" s="7">
        <v>147585</v>
      </c>
      <c r="H36" s="7">
        <v>899503</v>
      </c>
    </row>
    <row r="38" spans="1:8" x14ac:dyDescent="0.45">
      <c r="A38" s="2" t="s">
        <v>118</v>
      </c>
      <c r="B38" t="s">
        <v>120</v>
      </c>
    </row>
    <row r="39" spans="1:8" x14ac:dyDescent="0.45">
      <c r="A39" s="3" t="s">
        <v>44</v>
      </c>
      <c r="B39" s="7">
        <v>180425.5</v>
      </c>
    </row>
    <row r="40" spans="1:8" x14ac:dyDescent="0.45">
      <c r="A40" s="3" t="s">
        <v>18</v>
      </c>
      <c r="B40" s="7">
        <v>153729.5</v>
      </c>
    </row>
    <row r="41" spans="1:8" x14ac:dyDescent="0.45">
      <c r="A41" s="3" t="s">
        <v>31</v>
      </c>
      <c r="B41" s="7">
        <v>169120</v>
      </c>
    </row>
    <row r="42" spans="1:8" x14ac:dyDescent="0.45">
      <c r="A42" s="3" t="s">
        <v>37</v>
      </c>
      <c r="B42" s="7">
        <v>110997.5</v>
      </c>
    </row>
    <row r="43" spans="1:8" x14ac:dyDescent="0.45">
      <c r="A43" s="3" t="s">
        <v>26</v>
      </c>
      <c r="B43" s="7">
        <v>137645.5</v>
      </c>
    </row>
    <row r="44" spans="1:8" x14ac:dyDescent="0.45">
      <c r="A44" s="3" t="s">
        <v>45</v>
      </c>
      <c r="B44" s="7">
        <v>147585</v>
      </c>
    </row>
    <row r="45" spans="1:8" x14ac:dyDescent="0.45">
      <c r="A45" s="3" t="s">
        <v>119</v>
      </c>
      <c r="B45" s="7">
        <v>899503</v>
      </c>
    </row>
    <row r="47" spans="1:8" x14ac:dyDescent="0.45">
      <c r="A47" s="2" t="s">
        <v>118</v>
      </c>
      <c r="B47" t="s">
        <v>122</v>
      </c>
    </row>
    <row r="48" spans="1:8" x14ac:dyDescent="0.45">
      <c r="A48" s="3" t="s">
        <v>18</v>
      </c>
      <c r="B48" s="7">
        <v>3341.945652173913</v>
      </c>
    </row>
    <row r="49" spans="1:2" x14ac:dyDescent="0.45">
      <c r="A49" s="3" t="s">
        <v>45</v>
      </c>
      <c r="B49" s="7">
        <v>3074.6875</v>
      </c>
    </row>
    <row r="50" spans="1:2" x14ac:dyDescent="0.45">
      <c r="A50" s="3" t="s">
        <v>44</v>
      </c>
      <c r="B50" s="7">
        <v>3058.0593220338983</v>
      </c>
    </row>
    <row r="51" spans="1:2" x14ac:dyDescent="0.45">
      <c r="A51" s="3" t="s">
        <v>26</v>
      </c>
      <c r="B51" s="7">
        <v>2992.2934782608695</v>
      </c>
    </row>
    <row r="52" spans="1:2" x14ac:dyDescent="0.45">
      <c r="A52" s="3" t="s">
        <v>31</v>
      </c>
      <c r="B52" s="7">
        <v>2915.8620689655172</v>
      </c>
    </row>
    <row r="53" spans="1:2" x14ac:dyDescent="0.45">
      <c r="A53" s="3" t="s">
        <v>37</v>
      </c>
      <c r="B53" s="7">
        <v>2581.3372093023254</v>
      </c>
    </row>
    <row r="54" spans="1:2" x14ac:dyDescent="0.45">
      <c r="A54" s="3" t="s">
        <v>119</v>
      </c>
      <c r="B54" s="7">
        <v>2998.3433333333332</v>
      </c>
    </row>
    <row r="56" spans="1:2" x14ac:dyDescent="0.45">
      <c r="A56" s="2" t="s">
        <v>118</v>
      </c>
      <c r="B56" t="s">
        <v>120</v>
      </c>
    </row>
    <row r="57" spans="1:2" x14ac:dyDescent="0.45">
      <c r="A57" s="3" t="s">
        <v>125</v>
      </c>
      <c r="B57" s="7">
        <v>344348</v>
      </c>
    </row>
    <row r="58" spans="1:2" x14ac:dyDescent="0.45">
      <c r="A58" s="4" t="s">
        <v>126</v>
      </c>
      <c r="B58" s="7">
        <v>76235.5</v>
      </c>
    </row>
    <row r="59" spans="1:2" x14ac:dyDescent="0.45">
      <c r="A59" s="4" t="s">
        <v>127</v>
      </c>
      <c r="B59" s="7">
        <v>268112.5</v>
      </c>
    </row>
    <row r="60" spans="1:2" x14ac:dyDescent="0.45">
      <c r="A60" s="5" t="s">
        <v>128</v>
      </c>
      <c r="B60" s="7">
        <v>105887</v>
      </c>
    </row>
    <row r="61" spans="1:2" x14ac:dyDescent="0.45">
      <c r="A61" s="5" t="s">
        <v>129</v>
      </c>
      <c r="B61" s="7">
        <v>79965</v>
      </c>
    </row>
    <row r="62" spans="1:2" x14ac:dyDescent="0.45">
      <c r="A62" s="5" t="s">
        <v>130</v>
      </c>
      <c r="B62" s="7">
        <v>82260.5</v>
      </c>
    </row>
    <row r="63" spans="1:2" x14ac:dyDescent="0.45">
      <c r="A63" s="3" t="s">
        <v>131</v>
      </c>
      <c r="B63" s="7">
        <v>555155</v>
      </c>
    </row>
    <row r="64" spans="1:2" x14ac:dyDescent="0.45">
      <c r="A64" s="4" t="s">
        <v>132</v>
      </c>
      <c r="B64" s="7">
        <v>256755</v>
      </c>
    </row>
    <row r="65" spans="1:2" x14ac:dyDescent="0.45">
      <c r="A65" s="5" t="s">
        <v>133</v>
      </c>
      <c r="B65" s="7">
        <v>86463.5</v>
      </c>
    </row>
    <row r="66" spans="1:2" x14ac:dyDescent="0.45">
      <c r="A66" s="5" t="s">
        <v>134</v>
      </c>
      <c r="B66" s="7">
        <v>84199.5</v>
      </c>
    </row>
    <row r="67" spans="1:2" x14ac:dyDescent="0.45">
      <c r="A67" s="5" t="s">
        <v>135</v>
      </c>
      <c r="B67" s="7">
        <v>86092</v>
      </c>
    </row>
    <row r="68" spans="1:2" x14ac:dyDescent="0.45">
      <c r="A68" s="4" t="s">
        <v>136</v>
      </c>
      <c r="B68" s="7">
        <v>276076</v>
      </c>
    </row>
    <row r="69" spans="1:2" x14ac:dyDescent="0.45">
      <c r="A69" s="5" t="s">
        <v>137</v>
      </c>
      <c r="B69" s="7">
        <v>89469</v>
      </c>
    </row>
    <row r="70" spans="1:2" x14ac:dyDescent="0.45">
      <c r="A70" s="5" t="s">
        <v>138</v>
      </c>
      <c r="B70" s="7">
        <v>101015</v>
      </c>
    </row>
    <row r="71" spans="1:2" x14ac:dyDescent="0.45">
      <c r="A71" s="5" t="s">
        <v>139</v>
      </c>
      <c r="B71" s="7">
        <v>85592</v>
      </c>
    </row>
    <row r="72" spans="1:2" x14ac:dyDescent="0.45">
      <c r="A72" s="4" t="s">
        <v>126</v>
      </c>
      <c r="B72" s="7">
        <v>22324</v>
      </c>
    </row>
    <row r="73" spans="1:2" x14ac:dyDescent="0.45">
      <c r="A73" s="3" t="s">
        <v>119</v>
      </c>
      <c r="B73" s="7">
        <v>899503</v>
      </c>
    </row>
  </sheetData>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Connect System</cp:lastModifiedBy>
  <cp:lastPrinted>2026-08-04T22:15:48Z</cp:lastPrinted>
  <dcterms:created xsi:type="dcterms:W3CDTF">2026-08-04T10:33:19Z</dcterms:created>
  <dcterms:modified xsi:type="dcterms:W3CDTF">2026-08-11T09:19:41Z</dcterms:modified>
</cp:coreProperties>
</file>