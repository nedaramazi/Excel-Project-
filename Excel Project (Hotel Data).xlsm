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workbookPr/>
  <mc:AlternateContent xmlns:mc="http://schemas.openxmlformats.org/markup-compatibility/2006">
    <mc:Choice Requires="x15">
      <x15ac:absPath xmlns:x15ac="http://schemas.microsoft.com/office/spreadsheetml/2010/11/ac" url="C:\Users\Laptop.Saman\Desktop\Excel\"/>
    </mc:Choice>
  </mc:AlternateContent>
  <xr:revisionPtr revIDLastSave="0" documentId="13_ncr:1_{CDAEDC05-615F-4D77-8A6F-C96FA966A93C}" xr6:coauthVersionLast="36" xr6:coauthVersionMax="36" xr10:uidLastSave="{00000000-0000-0000-0000-000000000000}"/>
  <bookViews>
    <workbookView xWindow="0" yWindow="0" windowWidth="20520" windowHeight="9435" xr2:uid="{00000000-000D-0000-FFFF-FFFF00000000}"/>
  </bookViews>
  <sheets>
    <sheet name="Dashboard" sheetId="6" r:id="rId1"/>
    <sheet name="Raw_Data" sheetId="1" r:id="rId2"/>
    <sheet name="Calculation" sheetId="3" r:id="rId3"/>
    <sheet name="Pivot Tables" sheetId="2" r:id="rId4"/>
  </sheets>
  <definedNames>
    <definedName name="_xlnm._FilterDatabase" localSheetId="1" hidden="1">Raw_Data!$A$1:$J$250</definedName>
    <definedName name="Slicer_Channel">#N/A</definedName>
    <definedName name="Slicer_City">#N/A</definedName>
    <definedName name="Slicer_Hotel">#N/A</definedName>
  </definedNames>
  <calcPr calcId="191029"/>
  <pivotCaches>
    <pivotCache cacheId="92" r:id="rId5"/>
    <pivotCache cacheId="95" r:id="rId6"/>
    <pivotCache cacheId="98" r:id="rId7"/>
    <pivotCache cacheId="101" r:id="rId8"/>
    <pivotCache cacheId="103" r:id="rId9"/>
    <pivotCache cacheId="106"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B24" i="3" l="1"/>
  <c r="D13" i="6" s="1"/>
  <c r="B23" i="3"/>
  <c r="D11" i="6" s="1"/>
  <c r="B22" i="3"/>
  <c r="D12" i="6" s="1"/>
  <c r="B21" i="3"/>
  <c r="D8" i="6" s="1"/>
  <c r="B20" i="3"/>
  <c r="D14" i="6" s="1"/>
  <c r="B19" i="3"/>
  <c r="D7" i="6" s="1"/>
  <c r="B18" i="3"/>
  <c r="D6" i="6" s="1"/>
  <c r="B16" i="3"/>
  <c r="B15" i="3"/>
  <c r="B14" i="3"/>
  <c r="B11" i="3"/>
  <c r="B10" i="3"/>
  <c r="B9" i="3"/>
  <c r="B6" i="3"/>
  <c r="B5" i="3"/>
  <c r="B4" i="3"/>
  <c r="B3" i="3"/>
</calcChain>
</file>

<file path=xl/sharedStrings.xml><?xml version="1.0" encoding="utf-8"?>
<sst xmlns="http://schemas.openxmlformats.org/spreadsheetml/2006/main" count="1588" uniqueCount="177">
  <si>
    <t>BookingID</t>
  </si>
  <si>
    <t>BookingDate</t>
  </si>
  <si>
    <t>Hotel</t>
  </si>
  <si>
    <t>City</t>
  </si>
  <si>
    <t>Guest</t>
  </si>
  <si>
    <t>Nights</t>
  </si>
  <si>
    <t>RoomType</t>
  </si>
  <si>
    <t>Revenue</t>
  </si>
  <si>
    <t>Status</t>
  </si>
  <si>
    <t>Channel</t>
  </si>
  <si>
    <t>Atlas</t>
  </si>
  <si>
    <t>Shiraz</t>
  </si>
  <si>
    <t>Guest 28</t>
  </si>
  <si>
    <t>Standard</t>
  </si>
  <si>
    <t>Confirmed</t>
  </si>
  <si>
    <t>Website</t>
  </si>
  <si>
    <t>Isfahan</t>
  </si>
  <si>
    <t>Guest 58</t>
  </si>
  <si>
    <t>Deluxe</t>
  </si>
  <si>
    <t>Cancelled</t>
  </si>
  <si>
    <t>OTA</t>
  </si>
  <si>
    <t>Tehran</t>
  </si>
  <si>
    <t>Guest 6</t>
  </si>
  <si>
    <t>Phone</t>
  </si>
  <si>
    <t>Mashhad</t>
  </si>
  <si>
    <t>Guest 106</t>
  </si>
  <si>
    <t>Suite</t>
  </si>
  <si>
    <t>Guest 118</t>
  </si>
  <si>
    <t>Rose</t>
  </si>
  <si>
    <t>Completed</t>
  </si>
  <si>
    <t>Niloo</t>
  </si>
  <si>
    <t>Guest 32</t>
  </si>
  <si>
    <t>Guest 82</t>
  </si>
  <si>
    <t>Guest 11</t>
  </si>
  <si>
    <t>Guest 33</t>
  </si>
  <si>
    <t>Pars</t>
  </si>
  <si>
    <t>Guest 74</t>
  </si>
  <si>
    <t>Guest 31</t>
  </si>
  <si>
    <t>Guest 18</t>
  </si>
  <si>
    <t>Guest 2</t>
  </si>
  <si>
    <t>Guest 107</t>
  </si>
  <si>
    <t>Guest 21</t>
  </si>
  <si>
    <t>Guest 87</t>
  </si>
  <si>
    <t>Guest 73</t>
  </si>
  <si>
    <t>Guest 25</t>
  </si>
  <si>
    <t>Guest 23</t>
  </si>
  <si>
    <t>Guest 46</t>
  </si>
  <si>
    <t>Guest 59</t>
  </si>
  <si>
    <t>Guest 13</t>
  </si>
  <si>
    <t>Guest 47</t>
  </si>
  <si>
    <t>Guest 63</t>
  </si>
  <si>
    <t>Guest 70</t>
  </si>
  <si>
    <t>Guest 17</t>
  </si>
  <si>
    <t>Guest 9</t>
  </si>
  <si>
    <t>Guest 90</t>
  </si>
  <si>
    <t>Guest 57</t>
  </si>
  <si>
    <t>Guest 119</t>
  </si>
  <si>
    <t>Guest 62</t>
  </si>
  <si>
    <t>Guest 3</t>
  </si>
  <si>
    <t>Guest 86</t>
  </si>
  <si>
    <t>Guest 115</t>
  </si>
  <si>
    <t>Guest 26</t>
  </si>
  <si>
    <t>Guest 65</t>
  </si>
  <si>
    <t>Guest 94</t>
  </si>
  <si>
    <t>Guest 76</t>
  </si>
  <si>
    <t>Guest 77</t>
  </si>
  <si>
    <t>Guest 91</t>
  </si>
  <si>
    <t>Guest 105</t>
  </si>
  <si>
    <t>Guest 89</t>
  </si>
  <si>
    <t>Guest 4</t>
  </si>
  <si>
    <t>Guest 42</t>
  </si>
  <si>
    <t>Guest 54</t>
  </si>
  <si>
    <t>Guest 79</t>
  </si>
  <si>
    <t>Guest 44</t>
  </si>
  <si>
    <t>Guest 22</t>
  </si>
  <si>
    <t>Guest 5</t>
  </si>
  <si>
    <t>Guest 92</t>
  </si>
  <si>
    <t>Guest 24</t>
  </si>
  <si>
    <t>Guest 8</t>
  </si>
  <si>
    <t>Guest 96</t>
  </si>
  <si>
    <t>Guest 55</t>
  </si>
  <si>
    <t>Guest 40</t>
  </si>
  <si>
    <t>Guest 60</t>
  </si>
  <si>
    <t>Guest 110</t>
  </si>
  <si>
    <t>Guest 61</t>
  </si>
  <si>
    <t>Guest 102</t>
  </si>
  <si>
    <t>Guest 84</t>
  </si>
  <si>
    <t>Guest 81</t>
  </si>
  <si>
    <t>Guest 100</t>
  </si>
  <si>
    <t>Guest 53</t>
  </si>
  <si>
    <t>Guest 116</t>
  </si>
  <si>
    <t>Guest 68</t>
  </si>
  <si>
    <t>Guest 75</t>
  </si>
  <si>
    <t>Guest 95</t>
  </si>
  <si>
    <t>Guest 108</t>
  </si>
  <si>
    <t>Guest 36</t>
  </si>
  <si>
    <t>Guest 114</t>
  </si>
  <si>
    <t>Guest 88</t>
  </si>
  <si>
    <t>Guest 98</t>
  </si>
  <si>
    <t>Guest 104</t>
  </si>
  <si>
    <t>Guest 113</t>
  </si>
  <si>
    <t>Guest 19</t>
  </si>
  <si>
    <t>Guest 41</t>
  </si>
  <si>
    <t>Guest 37</t>
  </si>
  <si>
    <t>Guest 39</t>
  </si>
  <si>
    <t>Guest 52</t>
  </si>
  <si>
    <t>Guest 111</t>
  </si>
  <si>
    <t>Guest 49</t>
  </si>
  <si>
    <t>Guest 30</t>
  </si>
  <si>
    <t>Guest 97</t>
  </si>
  <si>
    <t>Guest 1</t>
  </si>
  <si>
    <t>Guest 120</t>
  </si>
  <si>
    <t>Guest 43</t>
  </si>
  <si>
    <t>Guest 34</t>
  </si>
  <si>
    <t>Guest 50</t>
  </si>
  <si>
    <t>Guest 109</t>
  </si>
  <si>
    <t>Guest 83</t>
  </si>
  <si>
    <t>Guest 69</t>
  </si>
  <si>
    <t>Guest 78</t>
  </si>
  <si>
    <t>Guest 35</t>
  </si>
  <si>
    <t>Guest 71</t>
  </si>
  <si>
    <t>Guest 14</t>
  </si>
  <si>
    <t>Guest 66</t>
  </si>
  <si>
    <t>Guest 85</t>
  </si>
  <si>
    <t>Guest 29</t>
  </si>
  <si>
    <t>Guest 48</t>
  </si>
  <si>
    <t>Guest 67</t>
  </si>
  <si>
    <t>Guest 12</t>
  </si>
  <si>
    <t>Guest 7</t>
  </si>
  <si>
    <t>Guest 101</t>
  </si>
  <si>
    <t>Guest 56</t>
  </si>
  <si>
    <t>Unknown</t>
  </si>
  <si>
    <t>Row Labels</t>
  </si>
  <si>
    <t>Grand Total</t>
  </si>
  <si>
    <t>Sum of Revenue</t>
  </si>
  <si>
    <t>OTA Reservations</t>
  </si>
  <si>
    <t>Website Reservations</t>
  </si>
  <si>
    <t>Phone Reservations</t>
  </si>
  <si>
    <t>Isfahan Guests</t>
  </si>
  <si>
    <t>Shiraz Guests</t>
  </si>
  <si>
    <t>Tehran Guests</t>
  </si>
  <si>
    <t>Mashhad Guests</t>
  </si>
  <si>
    <t>Total Revenue</t>
  </si>
  <si>
    <t>Sum of 66</t>
  </si>
  <si>
    <t>Gusts Number</t>
  </si>
  <si>
    <t>Chanel</t>
  </si>
  <si>
    <t>Roome Type</t>
  </si>
  <si>
    <t xml:space="preserve">Standard Rooms </t>
  </si>
  <si>
    <t xml:space="preserve">Suite Rooms </t>
  </si>
  <si>
    <t>Deluxe Rooms</t>
  </si>
  <si>
    <t>Sum of Gusts Number</t>
  </si>
  <si>
    <t>Reported by Neda Ramazi</t>
  </si>
  <si>
    <t>Total Revenue:</t>
  </si>
  <si>
    <t>Average stay(Night)</t>
  </si>
  <si>
    <t>Total Bookings</t>
  </si>
  <si>
    <t>Average Revenue per Booking</t>
  </si>
  <si>
    <t>Average stay (Night):</t>
  </si>
  <si>
    <t>Average Revenue per Night:</t>
  </si>
  <si>
    <t>Total Bookings:</t>
  </si>
  <si>
    <t>cancelled reservations</t>
  </si>
  <si>
    <t>completed reservations</t>
  </si>
  <si>
    <t>Reservationes status:</t>
  </si>
  <si>
    <t>Number</t>
  </si>
  <si>
    <t>`</t>
  </si>
  <si>
    <t>ژانويه</t>
  </si>
  <si>
    <t>فوريه</t>
  </si>
  <si>
    <t>مارس</t>
  </si>
  <si>
    <t>آوريل</t>
  </si>
  <si>
    <t>مه</t>
  </si>
  <si>
    <t>ژوئن</t>
  </si>
  <si>
    <t>ژوئيه</t>
  </si>
  <si>
    <t>📍Isfahan had the most guests and the most revenue among other cities.</t>
  </si>
  <si>
    <t>🗝Between reservation chanels,  the most reservations were from the website.</t>
  </si>
  <si>
    <t>🎫Isfahan had the most guests and the most revenue among other cities.</t>
  </si>
  <si>
    <t>🏨Atlas Hotel had the most revenue among other hotels.</t>
  </si>
  <si>
    <t>Managerial insight:</t>
  </si>
  <si>
    <t>Hotel Booking Data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</si>
</sst>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_ر_ي_ا_ل_ ;_ * #,##0.00\-_ر_ي_ا_ل_ ;_ * &quot;-&quot;??_-_ر_ي_ا_ل_ ;_ @_ "/>
    <numFmt numFmtId="164" formatCode="[$-160429]yyyy/mm/dd;@"/>
    <numFmt numFmtId="165" formatCode="_ * #,##0_-_ر_ي_ا_ل_ ;_ * #,##0\-_ر_ي_ا_ل_ ;_ * &quot;-&quot;??_-_ر_ي_ا_ل_ ;_ @_ "/>
  </numFmts>
  <fonts count="8" x14ac:knownFonts="1">
    <font>
      <sz val="11"/>
      <color theme="1"/>
      <name val="Calibri"/>
      <family val="2"/>
      <scheme val="minor"/>
    </font>
    <font>
      <sz val="11"/>
      <color theme="1"/>
      <name val="Calibri"/>
      <family val="2"/>
      <scheme val="minor"/>
    </font>
    <font>
      <sz val="11"/>
      <color rgb="FFFF0000"/>
      <name val="Calibri"/>
      <family val="2"/>
      <scheme val="minor"/>
    </font>
    <font>
      <b/>
      <sz val="12"/>
      <color theme="1"/>
      <name val="Calibri"/>
      <family val="2"/>
      <scheme val="minor"/>
    </font>
    <font>
      <b/>
      <sz val="18"/>
      <color theme="1"/>
      <name val="Calibri"/>
      <family val="2"/>
      <scheme val="minor"/>
    </font>
    <font>
      <sz val="12"/>
      <color theme="1"/>
      <name val="Calibri"/>
      <family val="2"/>
      <scheme val="minor"/>
    </font>
    <font>
      <sz val="14"/>
      <color theme="1"/>
      <name val="Cambria"/>
      <family val="1"/>
      <scheme val="major"/>
    </font>
    <font>
      <b/>
      <sz val="14"/>
      <color theme="1"/>
      <name val="Calibri"/>
      <family val="2"/>
      <scheme val="minor"/>
    </font>
  </fonts>
  <fills count="5">
    <fill>
      <patternFill patternType="none"/>
    </fill>
    <fill>
      <patternFill patternType="gray125"/>
    </fill>
    <fill>
      <patternFill patternType="solid">
        <fgColor theme="2" tint="-0.249977111117893"/>
        <bgColor indexed="64"/>
      </patternFill>
    </fill>
    <fill>
      <patternFill patternType="solid">
        <fgColor theme="6" tint="0.79998168889431442"/>
        <bgColor indexed="64"/>
      </patternFill>
    </fill>
    <fill>
      <patternFill patternType="solid">
        <fgColor theme="6" tint="-0.249977111117893"/>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43" fontId="1" fillId="0" borderId="0" applyFont="0" applyFill="0" applyBorder="0" applyAlignment="0" applyProtection="0"/>
  </cellStyleXfs>
  <cellXfs count="38">
    <xf numFmtId="0" fontId="0" fillId="0" borderId="0" xfId="0"/>
    <xf numFmtId="164" fontId="0" fillId="0" borderId="0" xfId="0" applyNumberFormat="1"/>
    <xf numFmtId="0" fontId="2"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pivotButton="1"/>
    <xf numFmtId="0" fontId="0" fillId="0" borderId="0" xfId="0" applyAlignment="1">
      <alignment horizontal="left"/>
    </xf>
    <xf numFmtId="0" fontId="0" fillId="0" borderId="0" xfId="0" applyNumberFormat="1"/>
    <xf numFmtId="165" fontId="0" fillId="0" borderId="0" xfId="1" applyNumberFormat="1" applyFont="1"/>
    <xf numFmtId="165" fontId="2" fillId="0" borderId="0" xfId="1" applyNumberFormat="1" applyFont="1"/>
    <xf numFmtId="165" fontId="0" fillId="0" borderId="0" xfId="0" applyNumberFormat="1"/>
    <xf numFmtId="0" fontId="0" fillId="0" borderId="0" xfId="0" applyNumberFormat="1" applyAlignment="1">
      <alignment horizontal="left"/>
    </xf>
    <xf numFmtId="2" fontId="0" fillId="0" borderId="0" xfId="0" applyNumberFormat="1" applyAlignment="1">
      <alignment horizontal="right"/>
    </xf>
    <xf numFmtId="0" fontId="0" fillId="0" borderId="0" xfId="0" applyAlignment="1">
      <alignment horizontal="right"/>
    </xf>
    <xf numFmtId="165" fontId="0" fillId="0" borderId="0" xfId="1" applyNumberFormat="1" applyFont="1" applyAlignment="1"/>
    <xf numFmtId="0" fontId="0" fillId="3" borderId="0" xfId="0" applyFill="1"/>
    <xf numFmtId="0" fontId="7" fillId="3" borderId="0" xfId="0" applyFont="1" applyFill="1" applyAlignment="1">
      <alignment horizontal="left"/>
    </xf>
    <xf numFmtId="165" fontId="7" fillId="3" borderId="0" xfId="1" applyNumberFormat="1" applyFont="1" applyFill="1" applyAlignment="1">
      <alignment vertical="top"/>
    </xf>
    <xf numFmtId="2" fontId="7" fillId="3" borderId="0" xfId="0" applyNumberFormat="1" applyFont="1" applyFill="1" applyAlignment="1">
      <alignment horizontal="center"/>
    </xf>
    <xf numFmtId="165" fontId="7" fillId="3" borderId="0" xfId="1" applyNumberFormat="1" applyFont="1" applyFill="1"/>
    <xf numFmtId="0" fontId="5" fillId="3" borderId="0" xfId="0" applyFont="1" applyFill="1"/>
    <xf numFmtId="0" fontId="3" fillId="3" borderId="0" xfId="0" applyFont="1" applyFill="1" applyAlignment="1">
      <alignment horizontal="left"/>
    </xf>
    <xf numFmtId="0" fontId="3" fillId="3" borderId="0" xfId="0" applyFont="1" applyFill="1" applyAlignment="1">
      <alignment horizontal="right"/>
    </xf>
    <xf numFmtId="0" fontId="5" fillId="3" borderId="0" xfId="0" applyFont="1" applyFill="1" applyAlignment="1">
      <alignment horizontal="center"/>
    </xf>
    <xf numFmtId="0" fontId="3" fillId="3" borderId="0" xfId="0" applyFont="1" applyFill="1" applyAlignment="1">
      <alignment horizontal="center"/>
    </xf>
    <xf numFmtId="0" fontId="6" fillId="3" borderId="0" xfId="0" applyFont="1" applyFill="1" applyAlignment="1"/>
    <xf numFmtId="0" fontId="4" fillId="4" borderId="0" xfId="0" applyFont="1" applyFill="1" applyAlignment="1">
      <alignment horizontal="center" vertical="center"/>
    </xf>
    <xf numFmtId="0" fontId="0" fillId="2" borderId="0" xfId="0" applyFill="1" applyAlignment="1">
      <alignment horizontal="center"/>
    </xf>
    <xf numFmtId="0" fontId="6" fillId="2" borderId="0" xfId="0" applyFont="1" applyFill="1" applyAlignment="1">
      <alignment horizontal="left"/>
    </xf>
    <xf numFmtId="0" fontId="6" fillId="2" borderId="0" xfId="0" applyFont="1" applyFill="1" applyAlignment="1">
      <alignment horizontal="center"/>
    </xf>
    <xf numFmtId="0" fontId="6" fillId="2" borderId="0" xfId="0" applyFont="1" applyFill="1" applyAlignment="1"/>
  </cellXfs>
  <cellStyles count="2">
    <cellStyle name="Comma" xfId="1" builtinId="3"/>
    <cellStyle name="Normal" xfId="0" builtinId="0"/>
  </cellStyles>
  <dxfs count="70">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numFmt numFmtId="165" formatCode="_ * #,##0_-_ر_ي_ا_ل_ ;_ * #,##0\-_ر_ي_ا_ل_ ;_ * &quot;-&quot;??_-_ر_ي_ا_ل_ ;_ @_ "/>
    </dxf>
    <dxf>
      <numFmt numFmtId="0" formatCode="General"/>
    </dxf>
    <dxf>
      <numFmt numFmtId="165" formatCode="_ * #,##0_-_ر_ي_ا_ل_ ;_ * #,##0\-_ر_ي_ا_ل_ ;_ * &quot;-&quot;??_-_ر_ي_ا_ل_ ;_ @_ "/>
    </dxf>
    <dxf>
      <font>
        <b val="0"/>
        <i val="0"/>
        <strike val="0"/>
        <condense val="0"/>
        <extend val="0"/>
        <outline val="0"/>
        <shadow val="0"/>
        <u val="none"/>
        <vertAlign val="baseline"/>
        <sz val="11"/>
        <color theme="1"/>
        <name val="Calibri"/>
        <family val="2"/>
        <scheme val="minor"/>
      </font>
      <numFmt numFmtId="165" formatCode="_ * #,##0_-_ر_ي_ا_ل_ ;_ * #,##0\-_ر_ي_ا_ل_ ;_ * &quot;-&quot;??_-_ر_ي_ا_ل_ ;_ @_ "/>
    </dxf>
    <dxf>
      <numFmt numFmtId="164" formatCode="[$-160429]yyyy/mm/dd;@"/>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3.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1.xml"/><Relationship Id="rId5" Type="http://schemas.openxmlformats.org/officeDocument/2006/relationships/pivotCacheDefinition" Target="pivotCache/pivotCacheDefinition1.xml"/><Relationship Id="rId15" Type="http://schemas.openxmlformats.org/officeDocument/2006/relationships/styles" Target="styles.xml"/><Relationship Id="rId10"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[Project_2_Hotel_Dirty_Data.xlsm]Pivot Tables!PivotTable13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Guests by 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872151940079209"/>
          <c:y val="0.26905611989341027"/>
          <c:w val="0.81506449821729743"/>
          <c:h val="0.48072569173128166"/>
        </c:manualLayout>
      </c:layout>
      <c:bar3DChart>
        <c:barDir val="col"/>
        <c:grouping val="stacked"/>
        <c:varyColors val="0"/>
        <c:ser>
          <c:idx val="0"/>
          <c:order val="0"/>
          <c:tx>
            <c:strRef>
              <c:f>'Pivot Tables'!$B$47</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Tables'!$A$48:$A$52</c:f>
              <c:strCache>
                <c:ptCount val="4"/>
                <c:pt idx="0">
                  <c:v>Isfahan Guests</c:v>
                </c:pt>
                <c:pt idx="1">
                  <c:v>Mashhad Guests</c:v>
                </c:pt>
                <c:pt idx="2">
                  <c:v>Shiraz Guests</c:v>
                </c:pt>
                <c:pt idx="3">
                  <c:v>Tehran Guests</c:v>
                </c:pt>
              </c:strCache>
            </c:strRef>
          </c:cat>
          <c:val>
            <c:numRef>
              <c:f>'Pivot Tables'!$B$48:$B$52</c:f>
              <c:numCache>
                <c:formatCode>General</c:formatCode>
                <c:ptCount val="4"/>
                <c:pt idx="0">
                  <c:v>66</c:v>
                </c:pt>
                <c:pt idx="1">
                  <c:v>58</c:v>
                </c:pt>
                <c:pt idx="2">
                  <c:v>64</c:v>
                </c:pt>
                <c:pt idx="3">
                  <c:v>60</c:v>
                </c:pt>
              </c:numCache>
            </c:numRef>
          </c:val>
          <c:extLst>
            <c:ext xmlns:c16="http://schemas.microsoft.com/office/drawing/2014/chart" uri="{C3380CC4-5D6E-409C-BE32-E72D297353CC}">
              <c16:uniqueId val="{00000000-2C4C-4612-8831-EEEF759B8FF8}"/>
            </c:ext>
          </c:extLst>
        </c:ser>
        <c:dLbls>
          <c:showLegendKey val="0"/>
          <c:showVal val="1"/>
          <c:showCatName val="0"/>
          <c:showSerName val="0"/>
          <c:showPercent val="0"/>
          <c:showBubbleSize val="0"/>
        </c:dLbls>
        <c:gapWidth val="150"/>
        <c:shape val="box"/>
        <c:axId val="91208232"/>
        <c:axId val="91210200"/>
        <c:axId val="0"/>
      </c:bar3DChart>
      <c:catAx>
        <c:axId val="912082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City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0200"/>
        <c:crosses val="autoZero"/>
        <c:auto val="1"/>
        <c:lblAlgn val="ctr"/>
        <c:lblOffset val="100"/>
        <c:noMultiLvlLbl val="0"/>
      </c:catAx>
      <c:valAx>
        <c:axId val="91210200"/>
        <c:scaling>
          <c:orientation val="minMax"/>
        </c:scaling>
        <c:delete val="0"/>
        <c:axPos val="l"/>
        <c:majorGridlines>
          <c:spPr>
            <a:ln w="19050"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Number of Guests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08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[Project_2_Hotel_Dirty_Data.xlsm]Pivot Tables!PivotTable10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Reservation Chanels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49023505665407"/>
          <c:y val="0.26328484981044037"/>
          <c:w val="0.49981332792044714"/>
          <c:h val="0.53114428404782732"/>
        </c:manualLayout>
      </c:layout>
      <c:barChart>
        <c:barDir val="bar"/>
        <c:grouping val="clustered"/>
        <c:varyColors val="0"/>
        <c:ser>
          <c:idx val="0"/>
          <c:order val="0"/>
          <c:tx>
            <c:strRef>
              <c:f>'Pivot Tables'!$G$40</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Tables'!$F$41:$F$44</c:f>
              <c:strCache>
                <c:ptCount val="3"/>
                <c:pt idx="0">
                  <c:v>OTA Reservations</c:v>
                </c:pt>
                <c:pt idx="1">
                  <c:v>Phone Reservations</c:v>
                </c:pt>
                <c:pt idx="2">
                  <c:v>Website Reservations</c:v>
                </c:pt>
              </c:strCache>
            </c:strRef>
          </c:cat>
          <c:val>
            <c:numRef>
              <c:f>'Pivot Tables'!$G$41:$G$44</c:f>
              <c:numCache>
                <c:formatCode>General</c:formatCode>
                <c:ptCount val="3"/>
                <c:pt idx="0">
                  <c:v>80</c:v>
                </c:pt>
                <c:pt idx="1">
                  <c:v>77</c:v>
                </c:pt>
                <c:pt idx="2">
                  <c:v>91</c:v>
                </c:pt>
              </c:numCache>
            </c:numRef>
          </c:val>
          <c:extLst>
            <c:ext xmlns:c16="http://schemas.microsoft.com/office/drawing/2014/chart" uri="{C3380CC4-5D6E-409C-BE32-E72D297353CC}">
              <c16:uniqueId val="{00000000-E8AD-40BF-A065-5E3C95A9BFD0}"/>
            </c:ext>
          </c:extLst>
        </c:ser>
        <c:dLbls>
          <c:dLblPos val="outEnd"/>
          <c:showLegendKey val="0"/>
          <c:showVal val="1"/>
          <c:showCatName val="0"/>
          <c:showSerName val="0"/>
          <c:showPercent val="0"/>
          <c:showBubbleSize val="0"/>
        </c:dLbls>
        <c:gapWidth val="182"/>
        <c:axId val="516368600"/>
        <c:axId val="516369584"/>
      </c:barChart>
      <c:catAx>
        <c:axId val="5163686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6369584"/>
        <c:crosses val="autoZero"/>
        <c:auto val="1"/>
        <c:lblAlgn val="ctr"/>
        <c:lblOffset val="100"/>
        <c:noMultiLvlLbl val="0"/>
      </c:catAx>
      <c:valAx>
        <c:axId val="5163695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Reservations'</a:t>
                </a:r>
                <a:r>
                  <a:rPr lang="en-US" b="1" baseline="0"/>
                  <a:t> Number</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6368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[Project_2_Hotel_Dirty_Data.xlsm]Pivot Tables!PivotTable1</c:name>
    <c:fmtId val="3"/>
  </c:pivotSource>
  <c:chart>
    <c:title>
      <c:tx>
        <c:rich>
          <a:bodyPr rot="0" spcFirstLastPara="1" vertOverflow="ellipsis" vert="horz" wrap="square" anchor="ctr" anchorCtr="1"/>
          <a:lstStyle/>
          <a:p>
            <a:pPr algn="r">
              <a:defRPr sz="1600" b="1" i="0" u="none" strike="noStrike" kern="1200" cap="all" spc="120" normalizeH="0" baseline="0">
                <a:solidFill>
                  <a:schemeClr val="tx1">
                    <a:lumMod val="65000"/>
                    <a:lumOff val="35000"/>
                  </a:schemeClr>
                </a:solidFill>
                <a:latin typeface="+mn-lt"/>
                <a:ea typeface="+mn-ea"/>
                <a:cs typeface="+mn-cs"/>
              </a:defRPr>
            </a:pPr>
            <a:r>
              <a:rPr lang="en-US" sz="1400"/>
              <a:t>rEVENUE by</a:t>
            </a:r>
            <a:r>
              <a:rPr lang="en-US" sz="1400" baseline="0"/>
              <a:t> hOTEL</a:t>
            </a:r>
            <a:endParaRPr lang="en-US" sz="1400"/>
          </a:p>
        </c:rich>
      </c:tx>
      <c:layout>
        <c:manualLayout>
          <c:xMode val="edge"/>
          <c:yMode val="edge"/>
          <c:x val="0.16087344752009092"/>
          <c:y val="0.11934966462525518"/>
        </c:manualLayout>
      </c:layout>
      <c:overlay val="0"/>
      <c:spPr>
        <a:noFill/>
        <a:ln>
          <a:noFill/>
        </a:ln>
        <a:effectLst/>
      </c:spPr>
      <c:txPr>
        <a:bodyPr rot="0" spcFirstLastPara="1" vertOverflow="ellipsis" vert="horz" wrap="square" anchor="ctr" anchorCtr="1"/>
        <a:lstStyle/>
        <a:p>
          <a:pPr algn="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a:sp3d/>
        </c:spPr>
        <c:marker>
          <c:symbol val="diamond"/>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5358595800524936"/>
          <c:y val="0.24680336832895888"/>
          <c:w val="0.71585848643919503"/>
          <c:h val="0.67456219014289875"/>
        </c:manualLayout>
      </c:layout>
      <c:bar3DChart>
        <c:barDir val="bar"/>
        <c:grouping val="stacked"/>
        <c:varyColors val="0"/>
        <c:ser>
          <c:idx val="0"/>
          <c:order val="0"/>
          <c:tx>
            <c:strRef>
              <c:f>'Pivot Tables'!$B$3</c:f>
              <c:strCache>
                <c:ptCount val="1"/>
                <c:pt idx="0">
                  <c:v>Total</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Tables'!$A$4:$A$8</c:f>
              <c:strCache>
                <c:ptCount val="4"/>
                <c:pt idx="0">
                  <c:v>Atlas</c:v>
                </c:pt>
                <c:pt idx="1">
                  <c:v>Niloo</c:v>
                </c:pt>
                <c:pt idx="2">
                  <c:v>Pars</c:v>
                </c:pt>
                <c:pt idx="3">
                  <c:v>Rose</c:v>
                </c:pt>
              </c:strCache>
            </c:strRef>
          </c:cat>
          <c:val>
            <c:numRef>
              <c:f>'Pivot Tables'!$B$4:$B$8</c:f>
              <c:numCache>
                <c:formatCode>_ * #,##0_-_ر_ي_ا_ل_ ;_ * #,##0\-_ر_ي_ا_ل_ ;_ * "-"??_-_ر_ي_ا_ل_ ;_ @_ </c:formatCode>
                <c:ptCount val="4"/>
                <c:pt idx="0">
                  <c:v>206270</c:v>
                </c:pt>
                <c:pt idx="1">
                  <c:v>175780</c:v>
                </c:pt>
                <c:pt idx="2">
                  <c:v>122600</c:v>
                </c:pt>
                <c:pt idx="3">
                  <c:v>180060</c:v>
                </c:pt>
              </c:numCache>
            </c:numRef>
          </c:val>
          <c:extLst>
            <c:ext xmlns:c16="http://schemas.microsoft.com/office/drawing/2014/chart" uri="{C3380CC4-5D6E-409C-BE32-E72D297353CC}">
              <c16:uniqueId val="{00000000-ACB8-4C7D-8346-33FC93842FEE}"/>
            </c:ext>
          </c:extLst>
        </c:ser>
        <c:dLbls>
          <c:showLegendKey val="0"/>
          <c:showVal val="1"/>
          <c:showCatName val="0"/>
          <c:showSerName val="0"/>
          <c:showPercent val="0"/>
          <c:showBubbleSize val="0"/>
        </c:dLbls>
        <c:gapWidth val="79"/>
        <c:shape val="box"/>
        <c:axId val="826158064"/>
        <c:axId val="826155768"/>
        <c:axId val="0"/>
      </c:bar3DChart>
      <c:catAx>
        <c:axId val="826158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HOTELS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26155768"/>
        <c:crosses val="autoZero"/>
        <c:auto val="1"/>
        <c:lblAlgn val="ctr"/>
        <c:lblOffset val="100"/>
        <c:noMultiLvlLbl val="0"/>
      </c:catAx>
      <c:valAx>
        <c:axId val="826155768"/>
        <c:scaling>
          <c:orientation val="minMax"/>
        </c:scaling>
        <c:delete val="1"/>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_ * #,##0_-_ر_ي_ا_ل_ ;_ * #,##0\-_ر_ي_ا_ل_ ;_ * &quot;-&quot;??_-_ر_ي_ا_ل_ ;_ @_ " sourceLinked="1"/>
        <c:majorTickMark val="none"/>
        <c:minorTickMark val="none"/>
        <c:tickLblPos val="nextTo"/>
        <c:crossAx val="82615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[Project_2_Hotel_Dirty_Data.xlsm]Pivot Tables!PivotTable2</c:name>
    <c:fmtId val="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Revenue by City</a:t>
            </a:r>
          </a:p>
        </c:rich>
      </c:tx>
      <c:layout>
        <c:manualLayout>
          <c:xMode val="edge"/>
          <c:yMode val="edge"/>
          <c:x val="0.30683333333333335"/>
          <c:y val="3.138670166229221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Tables'!$B$11</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Tables'!$A$12:$A$16</c:f>
              <c:strCache>
                <c:ptCount val="4"/>
                <c:pt idx="0">
                  <c:v>Isfahan</c:v>
                </c:pt>
                <c:pt idx="1">
                  <c:v>Mashhad</c:v>
                </c:pt>
                <c:pt idx="2">
                  <c:v>Shiraz</c:v>
                </c:pt>
                <c:pt idx="3">
                  <c:v>Tehran</c:v>
                </c:pt>
              </c:strCache>
            </c:strRef>
          </c:cat>
          <c:val>
            <c:numRef>
              <c:f>'Pivot Tables'!$B$12:$B$16</c:f>
              <c:numCache>
                <c:formatCode>_ * #,##0_-_ر_ي_ا_ل_ ;_ * #,##0\-_ر_ي_ا_ل_ ;_ * "-"??_-_ر_ي_ا_ل_ ;_ @_ </c:formatCode>
                <c:ptCount val="4"/>
                <c:pt idx="0">
                  <c:v>177550</c:v>
                </c:pt>
                <c:pt idx="1">
                  <c:v>166660</c:v>
                </c:pt>
                <c:pt idx="2">
                  <c:v>175610</c:v>
                </c:pt>
                <c:pt idx="3">
                  <c:v>164890</c:v>
                </c:pt>
              </c:numCache>
            </c:numRef>
          </c:val>
          <c:extLst>
            <c:ext xmlns:c16="http://schemas.microsoft.com/office/drawing/2014/chart" uri="{C3380CC4-5D6E-409C-BE32-E72D297353CC}">
              <c16:uniqueId val="{00000000-DCD7-47C3-A3D7-CF6700DAC94F}"/>
            </c:ext>
          </c:extLst>
        </c:ser>
        <c:dLbls>
          <c:dLblPos val="outEnd"/>
          <c:showLegendKey val="0"/>
          <c:showVal val="1"/>
          <c:showCatName val="0"/>
          <c:showSerName val="0"/>
          <c:showPercent val="0"/>
          <c:showBubbleSize val="0"/>
        </c:dLbls>
        <c:gapWidth val="444"/>
        <c:overlap val="-90"/>
        <c:axId val="415569144"/>
        <c:axId val="415566848"/>
      </c:barChart>
      <c:catAx>
        <c:axId val="4155691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15566848"/>
        <c:crosses val="autoZero"/>
        <c:auto val="1"/>
        <c:lblAlgn val="ctr"/>
        <c:lblOffset val="100"/>
        <c:noMultiLvlLbl val="0"/>
      </c:catAx>
      <c:valAx>
        <c:axId val="415566848"/>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_ * #,##0_-_ر_ي_ا_ل_ ;_ * #,##0\-_ر_ي_ا_ل_ ;_ * &quot;-&quot;??_-_ر_ي_ا_ل_ ;_ @_ " sourceLinked="1"/>
        <c:majorTickMark val="none"/>
        <c:minorTickMark val="none"/>
        <c:tickLblPos val="nextTo"/>
        <c:crossAx val="415569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[Project_2_Hotel_Dirty_Data.xlsm]Pivot Tables!PivotTable14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Per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w="28575" cap="rnd">
            <a:solidFill>
              <a:schemeClr val="accent3"/>
            </a:solidFill>
            <a:round/>
          </a:ln>
          <a:effectLst/>
        </c:spPr>
        <c:marker>
          <c:symbol val="circle"/>
          <c:size val="5"/>
          <c:spPr>
            <a:solidFill>
              <a:schemeClr val="accent3"/>
            </a:solidFill>
            <a:ln w="9525">
              <a:solidFill>
                <a:schemeClr val="accent3"/>
              </a:solidFill>
            </a:ln>
            <a:effectLst/>
          </c:spPr>
        </c:marker>
      </c:pivotFmt>
      <c:pivotFmt>
        <c:idx val="1"/>
        <c:spPr>
          <a:solidFill>
            <a:schemeClr val="accent3"/>
          </a:solidFill>
          <a:ln w="28575" cap="rnd">
            <a:solidFill>
              <a:schemeClr val="accent3"/>
            </a:solidFill>
            <a:round/>
          </a:ln>
          <a:effectLst/>
        </c:spPr>
        <c:marker>
          <c:symbol val="circle"/>
          <c:size val="5"/>
          <c:spPr>
            <a:solidFill>
              <a:schemeClr val="accent3"/>
            </a:solidFill>
            <a:ln w="9525">
              <a:solidFill>
                <a:schemeClr val="accent3"/>
              </a:solidFill>
            </a:ln>
            <a:effectLst/>
          </c:spPr>
        </c:marker>
      </c:pivotFmt>
      <c:pivotFmt>
        <c:idx val="2"/>
        <c:spPr>
          <a:ln w="28575" cap="rnd">
            <a:solidFill>
              <a:schemeClr val="accent3"/>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'Pivot Tables'!$B$55</c:f>
              <c:strCache>
                <c:ptCount val="1"/>
                <c:pt idx="0">
                  <c:v>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Tables'!$A$56:$A$63</c:f>
              <c:strCache>
                <c:ptCount val="7"/>
                <c:pt idx="0">
                  <c:v>ژانويه</c:v>
                </c:pt>
                <c:pt idx="1">
                  <c:v>فوريه</c:v>
                </c:pt>
                <c:pt idx="2">
                  <c:v>مارس</c:v>
                </c:pt>
                <c:pt idx="3">
                  <c:v>آوريل</c:v>
                </c:pt>
                <c:pt idx="4">
                  <c:v>مه</c:v>
                </c:pt>
                <c:pt idx="5">
                  <c:v>ژوئن</c:v>
                </c:pt>
                <c:pt idx="6">
                  <c:v>ژوئيه</c:v>
                </c:pt>
              </c:strCache>
            </c:strRef>
          </c:cat>
          <c:val>
            <c:numRef>
              <c:f>'Pivot Tables'!$B$56:$B$63</c:f>
              <c:numCache>
                <c:formatCode>_ * #,##0_-_ر_ي_ا_ل_ ;_ * #,##0\-_ر_ي_ا_ل_ ;_ * "-"??_-_ر_ي_ا_ل_ ;_ @_ </c:formatCode>
                <c:ptCount val="7"/>
                <c:pt idx="0">
                  <c:v>109760</c:v>
                </c:pt>
                <c:pt idx="1">
                  <c:v>84660</c:v>
                </c:pt>
                <c:pt idx="2">
                  <c:v>103150</c:v>
                </c:pt>
                <c:pt idx="3">
                  <c:v>93470</c:v>
                </c:pt>
                <c:pt idx="4">
                  <c:v>119420</c:v>
                </c:pt>
                <c:pt idx="5">
                  <c:v>117870</c:v>
                </c:pt>
                <c:pt idx="6">
                  <c:v>56380</c:v>
                </c:pt>
              </c:numCache>
            </c:numRef>
          </c:val>
          <c:smooth val="0"/>
          <c:extLst>
            <c:ext xmlns:c16="http://schemas.microsoft.com/office/drawing/2014/chart" uri="{C3380CC4-5D6E-409C-BE32-E72D297353CC}">
              <c16:uniqueId val="{00000000-1C55-4E9B-9228-C51FEC11ED75}"/>
            </c:ext>
          </c:extLst>
        </c:ser>
        <c:dLbls>
          <c:showLegendKey val="0"/>
          <c:showVal val="0"/>
          <c:showCatName val="0"/>
          <c:showSerName val="0"/>
          <c:showPercent val="0"/>
          <c:showBubbleSize val="0"/>
        </c:dLbls>
        <c:marker val="1"/>
        <c:smooth val="0"/>
        <c:axId val="411938888"/>
        <c:axId val="411939872"/>
      </c:lineChart>
      <c:catAx>
        <c:axId val="411938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39872"/>
        <c:crosses val="autoZero"/>
        <c:auto val="1"/>
        <c:lblAlgn val="ctr"/>
        <c:lblOffset val="100"/>
        <c:noMultiLvlLbl val="0"/>
      </c:catAx>
      <c:valAx>
        <c:axId val="411939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 #,##0_-_ر_ي_ا_ل_ ;_ * #,##0\-_ر_ي_ا_ل_ ;_ * &quot;-&quot;??_-_ر_ي_ا_ل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38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0</xdr:colOff>
      <xdr:row>4</xdr:row>
      <xdr:rowOff>176213</xdr:rowOff>
    </xdr:from>
    <xdr:to>
      <xdr:col>10</xdr:col>
      <xdr:colOff>0</xdr:colOff>
      <xdr:row>18</xdr:row>
      <xdr:rowOff>119063</xdr:rowOff>
    </xdr:to>
    <xdr:graphicFrame macro="">
      <xdr:nvGraphicFramePr>
        <xdr:cNvPr id="2" name="Chart 1">
          <a:extLst>
            <a:ext uri="{FF2B5EF4-FFF2-40B4-BE49-F238E27FC236}">
              <a16:creationId xmlns:a16="http://schemas.microsoft.com/office/drawing/2014/main" id="{E1B67E7E-3186-43F2-8F73-3A4C9A84A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9525</xdr:colOff>
      <xdr:row>18</xdr:row>
      <xdr:rowOff>128588</xdr:rowOff>
    </xdr:from>
    <xdr:to>
      <xdr:col>10</xdr:col>
      <xdr:colOff>4763</xdr:colOff>
      <xdr:row>33</xdr:row>
      <xdr:rowOff>157163</xdr:rowOff>
    </xdr:to>
    <xdr:graphicFrame macro="">
      <xdr:nvGraphicFramePr>
        <xdr:cNvPr id="3" name="Chart 2">
          <a:extLst>
            <a:ext uri="{FF2B5EF4-FFF2-40B4-BE49-F238E27FC236}">
              <a16:creationId xmlns:a16="http://schemas.microsoft.com/office/drawing/2014/main" id="{DA36CA31-E796-4C1C-B915-18B639F85D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56865</xdr:rowOff>
    </xdr:from>
    <xdr:to>
      <xdr:col>3</xdr:col>
      <xdr:colOff>1021292</xdr:colOff>
      <xdr:row>33</xdr:row>
      <xdr:rowOff>157163</xdr:rowOff>
    </xdr:to>
    <xdr:graphicFrame macro="">
      <xdr:nvGraphicFramePr>
        <xdr:cNvPr id="4" name="Chart 3">
          <a:extLst>
            <a:ext uri="{FF2B5EF4-FFF2-40B4-BE49-F238E27FC236}">
              <a16:creationId xmlns:a16="http://schemas.microsoft.com/office/drawing/2014/main" id="{B670E6B7-A687-4697-BB31-7F906B741A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34</xdr:row>
      <xdr:rowOff>14287</xdr:rowOff>
    </xdr:from>
    <xdr:to>
      <xdr:col>6</xdr:col>
      <xdr:colOff>485775</xdr:colOff>
      <xdr:row>49</xdr:row>
      <xdr:rowOff>42862</xdr:rowOff>
    </xdr:to>
    <xdr:graphicFrame macro="">
      <xdr:nvGraphicFramePr>
        <xdr:cNvPr id="6" name="Chart 5">
          <a:extLst>
            <a:ext uri="{FF2B5EF4-FFF2-40B4-BE49-F238E27FC236}">
              <a16:creationId xmlns:a16="http://schemas.microsoft.com/office/drawing/2014/main" id="{D4C8776E-0083-4FD8-8648-52CE75D205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514350</xdr:colOff>
      <xdr:row>34</xdr:row>
      <xdr:rowOff>4762</xdr:rowOff>
    </xdr:from>
    <xdr:to>
      <xdr:col>13</xdr:col>
      <xdr:colOff>552450</xdr:colOff>
      <xdr:row>49</xdr:row>
      <xdr:rowOff>33337</xdr:rowOff>
    </xdr:to>
    <xdr:graphicFrame macro="">
      <xdr:nvGraphicFramePr>
        <xdr:cNvPr id="7" name="Chart 6">
          <a:extLst>
            <a:ext uri="{FF2B5EF4-FFF2-40B4-BE49-F238E27FC236}">
              <a16:creationId xmlns:a16="http://schemas.microsoft.com/office/drawing/2014/main" id="{7F3A9BE6-207C-4116-B8A3-C79E56F65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66674</xdr:colOff>
      <xdr:row>21</xdr:row>
      <xdr:rowOff>61913</xdr:rowOff>
    </xdr:from>
    <xdr:to>
      <xdr:col>13</xdr:col>
      <xdr:colOff>585787</xdr:colOff>
      <xdr:row>33</xdr:row>
      <xdr:rowOff>138112</xdr:rowOff>
    </xdr:to>
    <mc:AlternateContent xmlns:mc="http://schemas.openxmlformats.org/markup-compatibility/2006" xmlns:a14="http://schemas.microsoft.com/office/drawing/2010/main">
      <mc:Choice Requires="a14">
        <xdr:graphicFrame macro="">
          <xdr:nvGraphicFramePr>
            <xdr:cNvPr id="8" name="Hotel">
              <a:extLst>
                <a:ext uri="{FF2B5EF4-FFF2-40B4-BE49-F238E27FC236}">
                  <a16:creationId xmlns:a16="http://schemas.microsoft.com/office/drawing/2014/main" id="{A8DC5553-C3F0-4697-AD54-4E2696B2E66A}"/>
                </a:ext>
              </a:extLst>
            </xdr:cNvPr>
            <xdr:cNvGraphicFramePr/>
          </xdr:nvGraphicFramePr>
          <xdr:xfrm>
            <a:off x="0" y="0"/>
            <a:ext cx="0" cy="0"/>
          </xdr:xfrm>
          <a:graphic>
            <a:graphicData uri="http://schemas.microsoft.com/office/drawing/2010/slicer">
              <sle:slicer xmlns:sle="http://schemas.microsoft.com/office/drawing/2010/slicer" name="Hotel"/>
            </a:graphicData>
          </a:graphic>
        </xdr:graphicFrame>
      </mc:Choice>
      <mc:Fallback xmlns="">
        <xdr:sp macro="" textlink="">
          <xdr:nvSpPr>
            <xdr:cNvPr id="0" name=""/>
            <xdr:cNvSpPr>
              <a:spLocks noTextEdit="1"/>
            </xdr:cNvSpPr>
          </xdr:nvSpPr>
          <xdr:spPr>
            <a:xfrm>
              <a:off x="6734174" y="3990976"/>
              <a:ext cx="2453880" cy="2219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77258</xdr:colOff>
      <xdr:row>4</xdr:row>
      <xdr:rowOff>176211</xdr:rowOff>
    </xdr:from>
    <xdr:to>
      <xdr:col>13</xdr:col>
      <xdr:colOff>610658</xdr:colOff>
      <xdr:row>12</xdr:row>
      <xdr:rowOff>68791</xdr:rowOff>
    </xdr:to>
    <mc:AlternateContent xmlns:mc="http://schemas.openxmlformats.org/markup-compatibility/2006">
      <mc:Choice xmlns:a14="http://schemas.microsoft.com/office/drawing/2010/main" Requires="a14">
        <xdr:graphicFrame macro="">
          <xdr:nvGraphicFramePr>
            <xdr:cNvPr id="10" name="Channel">
              <a:extLst>
                <a:ext uri="{FF2B5EF4-FFF2-40B4-BE49-F238E27FC236}">
                  <a16:creationId xmlns:a16="http://schemas.microsoft.com/office/drawing/2014/main" id="{4AACF575-CDBD-4B60-AAB6-4B9815CFD4C5}"/>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dr:sp macro="" textlink="">
          <xdr:nvSpPr>
            <xdr:cNvPr id="0" name=""/>
            <xdr:cNvSpPr>
              <a:spLocks noTextEdit="1"/>
            </xdr:cNvSpPr>
          </xdr:nvSpPr>
          <xdr:spPr>
            <a:xfrm>
              <a:off x="6935258" y="895878"/>
              <a:ext cx="2470150" cy="15594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68791</xdr:colOff>
      <xdr:row>12</xdr:row>
      <xdr:rowOff>191557</xdr:rowOff>
    </xdr:from>
    <xdr:to>
      <xdr:col>13</xdr:col>
      <xdr:colOff>582082</xdr:colOff>
      <xdr:row>20</xdr:row>
      <xdr:rowOff>174624</xdr:rowOff>
    </xdr:to>
    <mc:AlternateContent xmlns:mc="http://schemas.openxmlformats.org/markup-compatibility/2006">
      <mc:Choice xmlns:a14="http://schemas.microsoft.com/office/drawing/2010/main" Requires="a14">
        <xdr:graphicFrame macro="">
          <xdr:nvGraphicFramePr>
            <xdr:cNvPr id="11" name="City 1">
              <a:extLst>
                <a:ext uri="{FF2B5EF4-FFF2-40B4-BE49-F238E27FC236}">
                  <a16:creationId xmlns:a16="http://schemas.microsoft.com/office/drawing/2014/main" id="{4DA55981-5ED4-48A9-B54D-775A57151AE2}"/>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6926791" y="2578099"/>
              <a:ext cx="2450041" cy="14647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nect System" refreshedDate="46245.516143981484" createdVersion="6" refreshedVersion="6" minRefreshableVersion="3" recordCount="248" xr:uid="{035DD5AE-2317-4DA6-99A1-4A29289E1E6A}">
  <cacheSource type="worksheet">
    <worksheetSource ref="A1:J249" sheet="Raw_Data"/>
  </cacheSource>
  <cacheFields count="11">
    <cacheField name="BookingID" numFmtId="0">
      <sharedItems containsSemiMixedTypes="0" containsString="0" containsNumber="1" containsInteger="1" minValue="1001" maxValue="1250"/>
    </cacheField>
    <cacheField name="BookingDate" numFmtId="164">
      <sharedItems containsSemiMixedTypes="0" containsNonDate="0" containsDate="1" containsString="0" minDate="2025-01-01T00:00:00" maxDate="2025-07-20T00:00:00" count="145">
        <d v="2025-03-14T00:00:00"/>
        <d v="2025-03-30T00:00:00"/>
        <d v="2025-04-05T00:00:00"/>
        <d v="2025-06-19T00:00:00"/>
        <d v="2025-04-09T00:00:00"/>
        <d v="2025-02-14T00:00:00"/>
        <d v="2025-07-17T00:00:00"/>
        <d v="2025-02-26T00:00:00"/>
        <d v="2025-06-08T00:00:00"/>
        <d v="2025-04-06T00:00:00"/>
        <d v="2025-04-22T00:00:00"/>
        <d v="2025-06-16T00:00:00"/>
        <d v="2025-05-27T00:00:00"/>
        <d v="2025-06-10T00:00:00"/>
        <d v="2025-07-04T00:00:00"/>
        <d v="2025-04-07T00:00:00"/>
        <d v="2025-02-10T00:00:00"/>
        <d v="2025-01-28T00:00:00"/>
        <d v="2025-07-07T00:00:00"/>
        <d v="2025-05-31T00:00:00"/>
        <d v="2025-02-03T00:00:00"/>
        <d v="2025-01-13T00:00:00"/>
        <d v="2025-05-30T00:00:00"/>
        <d v="2025-03-19T00:00:00"/>
        <d v="2025-05-01T00:00:00"/>
        <d v="2025-02-11T00:00:00"/>
        <d v="2025-01-27T00:00:00"/>
        <d v="2025-03-25T00:00:00"/>
        <d v="2025-03-24T00:00:00"/>
        <d v="2025-02-04T00:00:00"/>
        <d v="2025-05-26T00:00:00"/>
        <d v="2025-05-21T00:00:00"/>
        <d v="2025-01-11T00:00:00"/>
        <d v="2025-06-23T00:00:00"/>
        <d v="2025-04-26T00:00:00"/>
        <d v="2025-02-19T00:00:00"/>
        <d v="2025-06-09T00:00:00"/>
        <d v="2025-07-19T00:00:00"/>
        <d v="2025-04-28T00:00:00"/>
        <d v="2025-05-14T00:00:00"/>
        <d v="2025-04-30T00:00:00"/>
        <d v="2025-06-20T00:00:00"/>
        <d v="2025-01-17T00:00:00"/>
        <d v="2025-01-02T00:00:00"/>
        <d v="2025-03-15T00:00:00"/>
        <d v="2025-07-08T00:00:00"/>
        <d v="2025-04-02T00:00:00"/>
        <d v="2025-06-17T00:00:00"/>
        <d v="2025-03-13T00:00:00"/>
        <d v="2025-01-05T00:00:00"/>
        <d v="2025-06-22T00:00:00"/>
        <d v="2025-02-13T00:00:00"/>
        <d v="2025-04-10T00:00:00"/>
        <d v="2025-01-18T00:00:00"/>
        <d v="2025-04-17T00:00:00"/>
        <d v="2025-04-20T00:00:00"/>
        <d v="2025-06-26T00:00:00"/>
        <d v="2025-06-14T00:00:00"/>
        <d v="2025-02-07T00:00:00"/>
        <d v="2025-01-19T00:00:00"/>
        <d v="2025-03-20T00:00:00"/>
        <d v="2025-05-18T00:00:00"/>
        <d v="2025-05-17T00:00:00"/>
        <d v="2025-05-13T00:00:00"/>
        <d v="2025-03-22T00:00:00"/>
        <d v="2025-05-19T00:00:00"/>
        <d v="2025-04-21T00:00:00"/>
        <d v="2025-07-13T00:00:00"/>
        <d v="2025-04-11T00:00:00"/>
        <d v="2025-06-13T00:00:00"/>
        <d v="2025-02-08T00:00:00"/>
        <d v="2025-05-06T00:00:00"/>
        <d v="2025-01-06T00:00:00"/>
        <d v="2025-04-01T00:00:00"/>
        <d v="2025-02-25T00:00:00"/>
        <d v="2025-01-22T00:00:00"/>
        <d v="2025-05-16T00:00:00"/>
        <d v="2025-06-03T00:00:00"/>
        <d v="2025-04-16T00:00:00"/>
        <d v="2025-01-31T00:00:00"/>
        <d v="2025-01-08T00:00:00"/>
        <d v="2025-02-21T00:00:00"/>
        <d v="2025-05-22T00:00:00"/>
        <d v="2025-05-08T00:00:00"/>
        <d v="2025-06-25T00:00:00"/>
        <d v="2025-06-12T00:00:00"/>
        <d v="2025-05-25T00:00:00"/>
        <d v="2025-03-10T00:00:00"/>
        <d v="2025-07-16T00:00:00"/>
        <d v="2025-05-12T00:00:00"/>
        <d v="2025-05-02T00:00:00"/>
        <d v="2025-04-23T00:00:00"/>
        <d v="2025-07-10T00:00:00"/>
        <d v="2025-02-05T00:00:00"/>
        <d v="2025-01-01T00:00:00"/>
        <d v="2025-01-14T00:00:00"/>
        <d v="2025-03-16T00:00:00"/>
        <d v="2025-02-06T00:00:00"/>
        <d v="2025-03-05T00:00:00"/>
        <d v="2025-05-03T00:00:00"/>
        <d v="2025-06-01T00:00:00"/>
        <d v="2025-03-17T00:00:00"/>
        <d v="2025-06-27T00:00:00"/>
        <d v="2025-04-24T00:00:00"/>
        <d v="2025-06-11T00:00:00"/>
        <d v="2025-06-21T00:00:00"/>
        <d v="2025-01-20T00:00:00"/>
        <d v="2025-02-27T00:00:00"/>
        <d v="2025-06-02T00:00:00"/>
        <d v="2025-04-15T00:00:00"/>
        <d v="2025-05-23T00:00:00"/>
        <d v="2025-02-15T00:00:00"/>
        <d v="2025-01-29T00:00:00"/>
        <d v="2025-04-08T00:00:00"/>
        <d v="2025-03-21T00:00:00"/>
        <d v="2025-03-23T00:00:00"/>
        <d v="2025-03-27T00:00:00"/>
        <d v="2025-05-05T00:00:00"/>
        <d v="2025-01-03T00:00:00"/>
        <d v="2025-03-02T00:00:00"/>
        <d v="2025-04-04T00:00:00"/>
        <d v="2025-01-09T00:00:00"/>
        <d v="2025-01-04T00:00:00"/>
        <d v="2025-06-05T00:00:00"/>
        <d v="2025-05-29T00:00:00"/>
        <d v="2025-02-22T00:00:00"/>
        <d v="2025-03-04T00:00:00"/>
        <d v="2025-01-16T00:00:00"/>
        <d v="2025-05-09T00:00:00"/>
        <d v="2025-02-20T00:00:00"/>
        <d v="2025-03-01T00:00:00"/>
        <d v="2025-03-09T00:00:00"/>
        <d v="2025-06-18T00:00:00"/>
        <d v="2025-07-15T00:00:00"/>
        <d v="2025-03-12T00:00:00"/>
        <d v="2025-01-25T00:00:00"/>
        <d v="2025-04-19T00:00:00"/>
        <d v="2025-06-30T00:00:00"/>
        <d v="2025-05-11T00:00:00"/>
        <d v="2025-02-28T00:00:00"/>
        <d v="2025-02-12T00:00:00"/>
        <d v="2025-06-06T00:00:00"/>
        <d v="2025-01-23T00:00:00"/>
        <d v="2025-01-30T00:00:00"/>
        <d v="2025-05-28T00:00:00"/>
      </sharedItems>
      <fieldGroup par="10" base="1">
        <rangePr groupBy="days" startDate="2025-01-01T00:00:00" endDate="2025-07-20T00:00:00"/>
        <groupItems count="368">
          <s v="&lt;2025/01/01"/>
          <s v="01-ژانويه"/>
          <s v="02-ژانويه"/>
          <s v="03-ژانويه"/>
          <s v="04-ژانويه"/>
          <s v="05-ژانويه"/>
          <s v="06-ژانويه"/>
          <s v="07-ژانويه"/>
          <s v="08-ژانويه"/>
          <s v="09-ژانويه"/>
          <s v="10-ژانويه"/>
          <s v="11-ژانويه"/>
          <s v="12-ژانويه"/>
          <s v="13-ژانويه"/>
          <s v="14-ژانويه"/>
          <s v="15-ژانويه"/>
          <s v="16-ژانويه"/>
          <s v="17-ژانويه"/>
          <s v="18-ژانويه"/>
          <s v="19-ژانويه"/>
          <s v="20-ژانويه"/>
          <s v="21-ژانويه"/>
          <s v="22-ژانويه"/>
          <s v="23-ژانويه"/>
          <s v="24-ژانويه"/>
          <s v="25-ژانويه"/>
          <s v="26-ژانويه"/>
          <s v="27-ژانويه"/>
          <s v="28-ژانويه"/>
          <s v="29-ژانويه"/>
          <s v="30-ژانويه"/>
          <s v="31-ژانويه"/>
          <s v="01-فوريه"/>
          <s v="02-فوريه"/>
          <s v="03-فوريه"/>
          <s v="04-فوريه"/>
          <s v="05-فوريه"/>
          <s v="06-فوريه"/>
          <s v="07-فوريه"/>
          <s v="08-فوريه"/>
          <s v="09-فوريه"/>
          <s v="10-فوريه"/>
          <s v="11-فوريه"/>
          <s v="12-فوريه"/>
          <s v="13-فوريه"/>
          <s v="14-فوريه"/>
          <s v="15-فوريه"/>
          <s v="16-فوريه"/>
          <s v="17-فوريه"/>
          <s v="18-فوريه"/>
          <s v="19-فوريه"/>
          <s v="20-فوريه"/>
          <s v="21-فوريه"/>
          <s v="22-فوريه"/>
          <s v="23-فوريه"/>
          <s v="24-فوريه"/>
          <s v="25-فوريه"/>
          <s v="26-فوريه"/>
          <s v="27-فوريه"/>
          <s v="28-فوريه"/>
          <s v="29-فوريه"/>
          <s v="01-مارس"/>
          <s v="02-مارس"/>
          <s v="03-مارس"/>
          <s v="04-مارس"/>
          <s v="05-مارس"/>
          <s v="06-مارس"/>
          <s v="07-مارس"/>
          <s v="08-مارس"/>
          <s v="09-مارس"/>
          <s v="10-مارس"/>
          <s v="11-مارس"/>
          <s v="12-مارس"/>
          <s v="13-مارس"/>
          <s v="14-مارس"/>
          <s v="15-مارس"/>
          <s v="16-مارس"/>
          <s v="17-مارس"/>
          <s v="18-مارس"/>
          <s v="19-مارس"/>
          <s v="20-مارس"/>
          <s v="21-مارس"/>
          <s v="22-مارس"/>
          <s v="23-مارس"/>
          <s v="24-مارس"/>
          <s v="25-مارس"/>
          <s v="26-مارس"/>
          <s v="27-مارس"/>
          <s v="28-مارس"/>
          <s v="29-مارس"/>
          <s v="30-مارس"/>
          <s v="31-مارس"/>
          <s v="01-آوريل"/>
          <s v="02-آوريل"/>
          <s v="03-آوريل"/>
          <s v="04-آوريل"/>
          <s v="05-آوريل"/>
          <s v="06-آوريل"/>
          <s v="07-آوريل"/>
          <s v="08-آوريل"/>
          <s v="09-آوريل"/>
          <s v="10-آوريل"/>
          <s v="11-آوريل"/>
          <s v="12-آوريل"/>
          <s v="13-آوريل"/>
          <s v="14-آوريل"/>
          <s v="15-آوريل"/>
          <s v="16-آوريل"/>
          <s v="17-آوريل"/>
          <s v="18-آوريل"/>
          <s v="19-آوريل"/>
          <s v="20-آوريل"/>
          <s v="21-آوريل"/>
          <s v="22-آوريل"/>
          <s v="23-آوريل"/>
          <s v="24-آوريل"/>
          <s v="25-آوريل"/>
          <s v="26-آوريل"/>
          <s v="27-آوريل"/>
          <s v="28-آوريل"/>
          <s v="29-آوريل"/>
          <s v="30-آوريل"/>
          <s v="01-مه"/>
          <s v="02-مه"/>
          <s v="03-مه"/>
          <s v="04-مه"/>
          <s v="05-مه"/>
          <s v="06-مه"/>
          <s v="07-مه"/>
          <s v="08-مه"/>
          <s v="09-مه"/>
          <s v="10-مه"/>
          <s v="11-مه"/>
          <s v="12-مه"/>
          <s v="13-مه"/>
          <s v="14-مه"/>
          <s v="15-مه"/>
          <s v="16-مه"/>
          <s v="17-مه"/>
          <s v="18-مه"/>
          <s v="19-مه"/>
          <s v="20-مه"/>
          <s v="21-مه"/>
          <s v="22-مه"/>
          <s v="23-مه"/>
          <s v="24-مه"/>
          <s v="25-مه"/>
          <s v="26-مه"/>
          <s v="27-مه"/>
          <s v="28-مه"/>
          <s v="29-مه"/>
          <s v="30-مه"/>
          <s v="31-مه"/>
          <s v="01-ژوئن"/>
          <s v="02-ژوئن"/>
          <s v="03-ژوئن"/>
          <s v="04-ژوئن"/>
          <s v="05-ژوئن"/>
          <s v="06-ژوئن"/>
          <s v="07-ژوئن"/>
          <s v="08-ژوئن"/>
          <s v="09-ژوئن"/>
          <s v="10-ژوئن"/>
          <s v="11-ژوئن"/>
          <s v="12-ژوئن"/>
          <s v="13-ژوئن"/>
          <s v="14-ژوئن"/>
          <s v="15-ژوئن"/>
          <s v="16-ژوئن"/>
          <s v="17-ژوئن"/>
          <s v="18-ژوئن"/>
          <s v="19-ژوئن"/>
          <s v="20-ژوئن"/>
          <s v="21-ژوئن"/>
          <s v="22-ژوئن"/>
          <s v="23-ژوئن"/>
          <s v="24-ژوئن"/>
          <s v="25-ژوئن"/>
          <s v="26-ژوئن"/>
          <s v="27-ژوئن"/>
          <s v="28-ژوئن"/>
          <s v="29-ژوئن"/>
          <s v="30-ژوئن"/>
          <s v="01-ژوئيه"/>
          <s v="02-ژوئيه"/>
          <s v="03-ژوئيه"/>
          <s v="04-ژوئيه"/>
          <s v="05-ژوئيه"/>
          <s v="06-ژوئيه"/>
          <s v="07-ژوئيه"/>
          <s v="08-ژوئيه"/>
          <s v="09-ژوئيه"/>
          <s v="10-ژوئيه"/>
          <s v="11-ژوئيه"/>
          <s v="12-ژوئيه"/>
          <s v="13-ژوئيه"/>
          <s v="14-ژوئيه"/>
          <s v="15-ژوئيه"/>
          <s v="16-ژوئيه"/>
          <s v="17-ژوئيه"/>
          <s v="18-ژوئيه"/>
          <s v="19-ژوئيه"/>
          <s v="20-ژوئيه"/>
          <s v="21-ژوئيه"/>
          <s v="22-ژوئيه"/>
          <s v="23-ژوئيه"/>
          <s v="24-ژوئيه"/>
          <s v="25-ژوئيه"/>
          <s v="26-ژوئيه"/>
          <s v="27-ژوئيه"/>
          <s v="28-ژوئيه"/>
          <s v="29-ژوئيه"/>
          <s v="30-ژوئيه"/>
          <s v="31-ژوئيه"/>
          <s v="01-اوت"/>
          <s v="02-اوت"/>
          <s v="03-اوت"/>
          <s v="04-اوت"/>
          <s v="05-اوت"/>
          <s v="06-اوت"/>
          <s v="07-اوت"/>
          <s v="08-اوت"/>
          <s v="09-اوت"/>
          <s v="10-اوت"/>
          <s v="11-اوت"/>
          <s v="12-اوت"/>
          <s v="13-اوت"/>
          <s v="14-اوت"/>
          <s v="15-اوت"/>
          <s v="16-اوت"/>
          <s v="17-اوت"/>
          <s v="18-اوت"/>
          <s v="19-اوت"/>
          <s v="20-اوت"/>
          <s v="21-اوت"/>
          <s v="22-اوت"/>
          <s v="23-اوت"/>
          <s v="24-اوت"/>
          <s v="25-اوت"/>
          <s v="26-اوت"/>
          <s v="27-اوت"/>
          <s v="28-اوت"/>
          <s v="29-اوت"/>
          <s v="30-اوت"/>
          <s v="31-اوت"/>
          <s v="01-سپتامبر"/>
          <s v="02-سپتامبر"/>
          <s v="03-سپتامبر"/>
          <s v="04-سپتامبر"/>
          <s v="05-سپتامبر"/>
          <s v="06-سپتامبر"/>
          <s v="07-سپتامبر"/>
          <s v="08-سپتامبر"/>
          <s v="09-سپتامبر"/>
          <s v="10-سپتامبر"/>
          <s v="11-سپتامبر"/>
          <s v="12-سپتامبر"/>
          <s v="13-سپتامبر"/>
          <s v="14-سپتامبر"/>
          <s v="15-سپتامبر"/>
          <s v="16-سپتامبر"/>
          <s v="17-سپتامبر"/>
          <s v="18-سپتامبر"/>
          <s v="19-سپتامبر"/>
          <s v="20-سپتامبر"/>
          <s v="21-سپتامبر"/>
          <s v="22-سپتامبر"/>
          <s v="23-سپتامبر"/>
          <s v="24-سپتامبر"/>
          <s v="25-سپتامبر"/>
          <s v="26-سپتامبر"/>
          <s v="27-سپتامبر"/>
          <s v="28-سپتامبر"/>
          <s v="29-سپتامبر"/>
          <s v="30-سپتامبر"/>
          <s v="01-اُكتبر"/>
          <s v="02-اُكتبر"/>
          <s v="03-اُكتبر"/>
          <s v="04-اُكتبر"/>
          <s v="05-اُكتبر"/>
          <s v="06-اُكتبر"/>
          <s v="07-اُكتبر"/>
          <s v="08-اُكتبر"/>
          <s v="09-اُكتبر"/>
          <s v="10-اُكتبر"/>
          <s v="11-اُكتبر"/>
          <s v="12-اُكتبر"/>
          <s v="13-اُكتبر"/>
          <s v="14-اُكتبر"/>
          <s v="15-اُكتبر"/>
          <s v="16-اُكتبر"/>
          <s v="17-اُكتبر"/>
          <s v="18-اُكتبر"/>
          <s v="19-اُكتبر"/>
          <s v="20-اُكتبر"/>
          <s v="21-اُكتبر"/>
          <s v="22-اُكتبر"/>
          <s v="23-اُكتبر"/>
          <s v="24-اُكتبر"/>
          <s v="25-اُكتبر"/>
          <s v="26-اُكتبر"/>
          <s v="27-اُكتبر"/>
          <s v="28-اُكتبر"/>
          <s v="29-اُكتبر"/>
          <s v="30-اُكتبر"/>
          <s v="31-اُكتبر"/>
          <s v="01-نوامبر"/>
          <s v="02-نوامبر"/>
          <s v="03-نوامبر"/>
          <s v="04-نوامبر"/>
          <s v="05-نوامبر"/>
          <s v="06-نوامبر"/>
          <s v="07-نوامبر"/>
          <s v="08-نوامبر"/>
          <s v="09-نوامبر"/>
          <s v="10-نوامبر"/>
          <s v="11-نوامبر"/>
          <s v="12-نوامبر"/>
          <s v="13-نوامبر"/>
          <s v="14-نوامبر"/>
          <s v="15-نوامبر"/>
          <s v="16-نوامبر"/>
          <s v="17-نوامبر"/>
          <s v="18-نوامبر"/>
          <s v="19-نوامبر"/>
          <s v="20-نوامبر"/>
          <s v="21-نوامبر"/>
          <s v="22-نوامبر"/>
          <s v="23-نوامبر"/>
          <s v="24-نوامبر"/>
          <s v="25-نوامبر"/>
          <s v="26-نوامبر"/>
          <s v="27-نوامبر"/>
          <s v="28-نوامبر"/>
          <s v="29-نوامبر"/>
          <s v="30-نوامبر"/>
          <s v="01-دسامبر"/>
          <s v="02-دسامبر"/>
          <s v="03-دسامبر"/>
          <s v="04-دسامبر"/>
          <s v="05-دسامبر"/>
          <s v="06-دسامبر"/>
          <s v="07-دسامبر"/>
          <s v="08-دسامبر"/>
          <s v="09-دسامبر"/>
          <s v="10-دسامبر"/>
          <s v="11-دسامبر"/>
          <s v="12-دسامبر"/>
          <s v="13-دسامبر"/>
          <s v="14-دسامبر"/>
          <s v="15-دسامبر"/>
          <s v="16-دسامبر"/>
          <s v="17-دسامبر"/>
          <s v="18-دسامبر"/>
          <s v="19-دسامبر"/>
          <s v="20-دسامبر"/>
          <s v="21-دسامبر"/>
          <s v="22-دسامبر"/>
          <s v="23-دسامبر"/>
          <s v="24-دسامبر"/>
          <s v="25-دسامبر"/>
          <s v="26-دسامبر"/>
          <s v="27-دسامبر"/>
          <s v="28-دسامبر"/>
          <s v="29-دسامبر"/>
          <s v="30-دسامبر"/>
          <s v="31-دسامبر"/>
          <s v="&gt;2025/07/20"/>
        </groupItems>
      </fieldGroup>
    </cacheField>
    <cacheField name="Hotel" numFmtId="0">
      <sharedItems count="4">
        <s v="Atlas"/>
        <s v="Rose"/>
        <s v="Niloo"/>
        <s v="Pars"/>
      </sharedItems>
    </cacheField>
    <cacheField name="City" numFmtId="0">
      <sharedItems count="6">
        <s v="Shiraz"/>
        <s v="Isfahan"/>
        <s v="Tehran"/>
        <s v="Mashhad"/>
        <s v=" Tehran " u="1"/>
        <s v="Tehran " u="1"/>
      </sharedItems>
    </cacheField>
    <cacheField name="Guest" numFmtId="0">
      <sharedItems/>
    </cacheField>
    <cacheField name="Nights" numFmtId="0">
      <sharedItems containsSemiMixedTypes="0" containsString="0" containsNumber="1" containsInteger="1" minValue="1" maxValue="7"/>
    </cacheField>
    <cacheField name="RoomType" numFmtId="0">
      <sharedItems/>
    </cacheField>
    <cacheField name="Revenue" numFmtId="165">
      <sharedItems containsMixedTypes="1" containsNumber="1" containsInteger="1" minValue="520" maxValue="4990"/>
    </cacheField>
    <cacheField name="Status" numFmtId="0">
      <sharedItems/>
    </cacheField>
    <cacheField name="Channel" numFmtId="0">
      <sharedItems count="3">
        <s v="Website"/>
        <s v="OTA"/>
        <s v="Phone"/>
      </sharedItems>
    </cacheField>
    <cacheField name="Months" numFmtId="0" databaseField="0">
      <fieldGroup base="1">
        <rangePr groupBy="months" startDate="2025-01-01T00:00:00" endDate="2025-07-20T00:00:00"/>
        <groupItems count="14">
          <s v="&lt;2025/01/01"/>
          <s v="ژانويه"/>
          <s v="فوريه"/>
          <s v="مارس"/>
          <s v="آوريل"/>
          <s v="مه"/>
          <s v="ژوئن"/>
          <s v="ژوئيه"/>
          <s v="اوت"/>
          <s v="سپتامبر"/>
          <s v="اُكتبر"/>
          <s v="نوامبر"/>
          <s v="دسامبر"/>
          <s v="&gt;2025/07/20"/>
        </groupItems>
      </fieldGroup>
    </cacheField>
  </cacheFields>
  <extLst>
    <ext xmlns:x14="http://schemas.microsoft.com/office/spreadsheetml/2009/9/main" uri="{725AE2AE-9491-48be-B2B4-4EB974FC3084}">
      <x14:pivotCacheDefinition pivotCacheId="15460063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nect System" refreshedDate="46245.516144907408" createdVersion="6" refreshedVersion="6" minRefreshableVersion="3" recordCount="4" xr:uid="{230BC42B-E681-42F3-9064-FDD9EF29DA9E}">
  <cacheSource type="worksheet">
    <worksheetSource name="Table1"/>
  </cacheSource>
  <cacheFields count="2">
    <cacheField name="Gusts Number" numFmtId="0">
      <sharedItems containsSemiMixedTypes="0" containsString="0" containsNumber="1" containsInteger="1" minValue="58" maxValue="66"/>
    </cacheField>
    <cacheField name="City" numFmtId="0">
      <sharedItems count="4">
        <s v="Isfahan Guests"/>
        <s v="Shiraz Guests"/>
        <s v="Tehran Guests"/>
        <s v="Mashhad Guests"/>
      </sharedItems>
    </cacheField>
  </cacheFields>
  <extLst>
    <ext xmlns:x14="http://schemas.microsoft.com/office/spreadsheetml/2009/9/main" uri="{725AE2AE-9491-48be-B2B4-4EB974FC3084}">
      <x14:pivotCacheDefinition pivotCacheId="75490209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nect System" refreshedDate="46245.516145138892" createdVersion="6" refreshedVersion="6" minRefreshableVersion="3" recordCount="3" xr:uid="{EF4F1264-5B21-4725-9230-F10C0F04D57A}">
  <cacheSource type="worksheet">
    <worksheetSource name="Table2"/>
  </cacheSource>
  <cacheFields count="2">
    <cacheField name="Gusts Number" numFmtId="0">
      <sharedItems containsSemiMixedTypes="0" containsString="0" containsNumber="1" containsInteger="1" minValue="77" maxValue="91"/>
    </cacheField>
    <cacheField name="Chanel" numFmtId="0">
      <sharedItems count="3">
        <s v="OTA Reservations"/>
        <s v="Website Reservations"/>
        <s v="Phone Reservations"/>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nect System" refreshedDate="46245.516145254631" createdVersion="6" refreshedVersion="6" minRefreshableVersion="3" recordCount="3" xr:uid="{152498FB-D8C1-4B8E-B9AB-A42CF47C38B1}">
  <cacheSource type="worksheet">
    <worksheetSource name="Table3"/>
  </cacheSource>
  <cacheFields count="2">
    <cacheField name="Gusts Number" numFmtId="0">
      <sharedItems containsSemiMixedTypes="0" containsString="0" containsNumber="1" containsInteger="1" minValue="70" maxValue="92"/>
    </cacheField>
    <cacheField name="Roome Type" numFmtId="0">
      <sharedItems count="3">
        <s v="Suite Rooms "/>
        <s v="Standard Rooms "/>
        <s v="Deluxe Rooms"/>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nect System" refreshedDate="46245.516145486108" createdVersion="6" refreshedVersion="6" minRefreshableVersion="3" recordCount="2" xr:uid="{C17B4D64-0ADE-49D3-AA4D-71638B3F6316}">
  <cacheSource type="worksheet">
    <worksheetSource ref="B9:C11" sheet="Calculation"/>
  </cacheSource>
  <cacheFields count="2">
    <cacheField name="80" numFmtId="0">
      <sharedItems containsSemiMixedTypes="0" containsString="0" containsNumber="1" containsInteger="1" minValue="77" maxValue="91"/>
    </cacheField>
    <cacheField name="OTA Reservations" numFmtId="0">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nect System" refreshedDate="46245.516145717593" createdVersion="6" refreshedVersion="6" minRefreshableVersion="3" recordCount="3" xr:uid="{93A5332B-36CD-4207-BAE5-61A1F4595B39}">
  <cacheSource type="worksheet">
    <worksheetSource ref="B3:C6" sheet="Calculation"/>
  </cacheSource>
  <cacheFields count="2">
    <cacheField name="66" numFmtId="0">
      <sharedItems containsSemiMixedTypes="0" containsString="0" containsNumber="1" containsInteger="1" minValue="58" maxValue="64"/>
    </cacheField>
    <cacheField name="Isfahan Guests" numFmtId="0">
      <sharedItems count="3">
        <s v="Shiraz Guests"/>
        <s v="Tehran Guests"/>
        <s v="Mashhad Gu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n v="1001"/>
    <x v="0"/>
    <x v="0"/>
    <x v="0"/>
    <s v="Guest 28"/>
    <n v="3"/>
    <s v="Standard"/>
    <n v="710"/>
    <s v="Confirmed"/>
    <x v="0"/>
  </r>
  <r>
    <n v="1002"/>
    <x v="1"/>
    <x v="0"/>
    <x v="1"/>
    <s v="Guest 58"/>
    <n v="5"/>
    <s v="Deluxe"/>
    <n v="4670"/>
    <s v="Cancelled"/>
    <x v="1"/>
  </r>
  <r>
    <n v="1003"/>
    <x v="2"/>
    <x v="0"/>
    <x v="2"/>
    <s v="Guest 6"/>
    <n v="1"/>
    <s v="Deluxe"/>
    <n v="960"/>
    <s v="Cancelled"/>
    <x v="2"/>
  </r>
  <r>
    <n v="1004"/>
    <x v="3"/>
    <x v="0"/>
    <x v="3"/>
    <s v="Guest 106"/>
    <n v="6"/>
    <s v="Suite"/>
    <n v="3640"/>
    <s v="Confirmed"/>
    <x v="0"/>
  </r>
  <r>
    <n v="1005"/>
    <x v="4"/>
    <x v="0"/>
    <x v="0"/>
    <s v="Guest 118"/>
    <n v="6"/>
    <s v="Suite"/>
    <n v="1590"/>
    <s v="Confirmed"/>
    <x v="2"/>
  </r>
  <r>
    <n v="1006"/>
    <x v="5"/>
    <x v="1"/>
    <x v="1"/>
    <s v="Unknown"/>
    <n v="3"/>
    <s v="Deluxe"/>
    <n v="1990"/>
    <s v="Completed"/>
    <x v="0"/>
  </r>
  <r>
    <n v="1007"/>
    <x v="6"/>
    <x v="2"/>
    <x v="3"/>
    <s v="Guest 32"/>
    <n v="3"/>
    <s v="Standard"/>
    <n v="3010"/>
    <s v="Completed"/>
    <x v="2"/>
  </r>
  <r>
    <n v="1008"/>
    <x v="7"/>
    <x v="1"/>
    <x v="2"/>
    <s v="Guest 82"/>
    <n v="3"/>
    <s v="Standard"/>
    <n v="4460"/>
    <s v="Cancelled"/>
    <x v="1"/>
  </r>
  <r>
    <n v="1009"/>
    <x v="8"/>
    <x v="0"/>
    <x v="0"/>
    <s v="Guest 11"/>
    <n v="6"/>
    <s v="Standard"/>
    <n v="4640"/>
    <s v="Cancelled"/>
    <x v="1"/>
  </r>
  <r>
    <n v="1010"/>
    <x v="9"/>
    <x v="2"/>
    <x v="2"/>
    <s v="Guest 33"/>
    <n v="5"/>
    <s v="Suite"/>
    <n v="3210"/>
    <s v="Cancelled"/>
    <x v="2"/>
  </r>
  <r>
    <n v="1011"/>
    <x v="10"/>
    <x v="3"/>
    <x v="2"/>
    <s v="Guest 32"/>
    <n v="6"/>
    <s v="Standard"/>
    <s v="Unknown"/>
    <s v="Completed"/>
    <x v="0"/>
  </r>
  <r>
    <n v="1012"/>
    <x v="11"/>
    <x v="1"/>
    <x v="1"/>
    <s v="Guest 82"/>
    <n v="3"/>
    <s v="Deluxe"/>
    <n v="1240"/>
    <s v="Cancelled"/>
    <x v="1"/>
  </r>
  <r>
    <n v="1013"/>
    <x v="12"/>
    <x v="2"/>
    <x v="3"/>
    <s v="Guest 74"/>
    <n v="7"/>
    <s v="Suite"/>
    <n v="3850"/>
    <s v="Confirmed"/>
    <x v="0"/>
  </r>
  <r>
    <n v="1014"/>
    <x v="13"/>
    <x v="1"/>
    <x v="1"/>
    <s v="Guest 31"/>
    <n v="2"/>
    <s v="Standard"/>
    <n v="2240"/>
    <s v="Completed"/>
    <x v="0"/>
  </r>
  <r>
    <n v="1015"/>
    <x v="14"/>
    <x v="2"/>
    <x v="2"/>
    <s v="Guest 18"/>
    <n v="1"/>
    <s v="Standard"/>
    <n v="1010"/>
    <s v="Confirmed"/>
    <x v="1"/>
  </r>
  <r>
    <n v="1016"/>
    <x v="15"/>
    <x v="1"/>
    <x v="0"/>
    <s v="Guest 2"/>
    <n v="3"/>
    <s v="Standard"/>
    <n v="3670"/>
    <s v="Completed"/>
    <x v="1"/>
  </r>
  <r>
    <n v="1017"/>
    <x v="16"/>
    <x v="0"/>
    <x v="0"/>
    <s v="Guest 107"/>
    <n v="7"/>
    <s v="Suite"/>
    <n v="1350"/>
    <s v="Confirmed"/>
    <x v="0"/>
  </r>
  <r>
    <n v="1018"/>
    <x v="3"/>
    <x v="2"/>
    <x v="0"/>
    <s v="Guest 21"/>
    <n v="4"/>
    <s v="Deluxe"/>
    <n v="4340"/>
    <s v="Confirmed"/>
    <x v="2"/>
  </r>
  <r>
    <n v="1019"/>
    <x v="17"/>
    <x v="0"/>
    <x v="1"/>
    <s v="Guest 87"/>
    <n v="4"/>
    <s v="Standard"/>
    <n v="910"/>
    <s v="Completed"/>
    <x v="0"/>
  </r>
  <r>
    <n v="1020"/>
    <x v="18"/>
    <x v="1"/>
    <x v="2"/>
    <s v="Guest 73"/>
    <n v="7"/>
    <s v="Deluxe"/>
    <n v="4950"/>
    <s v="Completed"/>
    <x v="2"/>
  </r>
  <r>
    <n v="1022"/>
    <x v="19"/>
    <x v="2"/>
    <x v="0"/>
    <s v="Guest 25"/>
    <n v="1"/>
    <s v="Standard"/>
    <n v="1270"/>
    <s v="Confirmed"/>
    <x v="2"/>
  </r>
  <r>
    <n v="1023"/>
    <x v="20"/>
    <x v="1"/>
    <x v="1"/>
    <s v="Guest 23"/>
    <n v="4"/>
    <s v="Deluxe"/>
    <n v="1740"/>
    <s v="Cancelled"/>
    <x v="1"/>
  </r>
  <r>
    <n v="1024"/>
    <x v="21"/>
    <x v="1"/>
    <x v="2"/>
    <s v="Guest 46"/>
    <n v="3"/>
    <s v="Standard"/>
    <n v="3000"/>
    <s v="Confirmed"/>
    <x v="1"/>
  </r>
  <r>
    <n v="1025"/>
    <x v="22"/>
    <x v="0"/>
    <x v="1"/>
    <s v="Guest 59"/>
    <n v="7"/>
    <s v="Standard"/>
    <n v="1390"/>
    <s v="Confirmed"/>
    <x v="2"/>
  </r>
  <r>
    <n v="1026"/>
    <x v="23"/>
    <x v="2"/>
    <x v="1"/>
    <s v="Guest 13"/>
    <n v="7"/>
    <s v="Deluxe"/>
    <n v="4290"/>
    <s v="Cancelled"/>
    <x v="0"/>
  </r>
  <r>
    <n v="1027"/>
    <x v="7"/>
    <x v="0"/>
    <x v="1"/>
    <s v="Guest 47"/>
    <n v="1"/>
    <s v="Standard"/>
    <n v="2120"/>
    <s v="Completed"/>
    <x v="0"/>
  </r>
  <r>
    <n v="1028"/>
    <x v="24"/>
    <x v="0"/>
    <x v="1"/>
    <s v="Guest 63"/>
    <n v="6"/>
    <s v="Standard"/>
    <n v="4890"/>
    <s v="Confirmed"/>
    <x v="1"/>
  </r>
  <r>
    <n v="1029"/>
    <x v="9"/>
    <x v="1"/>
    <x v="0"/>
    <s v="Guest 70"/>
    <n v="6"/>
    <s v="Deluxe"/>
    <n v="2010"/>
    <s v="Confirmed"/>
    <x v="0"/>
  </r>
  <r>
    <n v="1030"/>
    <x v="25"/>
    <x v="3"/>
    <x v="0"/>
    <s v="Guest 17"/>
    <n v="6"/>
    <s v="Deluxe"/>
    <n v="2350"/>
    <s v="Confirmed"/>
    <x v="0"/>
  </r>
  <r>
    <n v="1031"/>
    <x v="26"/>
    <x v="0"/>
    <x v="2"/>
    <s v="Guest 9"/>
    <n v="7"/>
    <s v="Standard"/>
    <n v="2750"/>
    <s v="Completed"/>
    <x v="0"/>
  </r>
  <r>
    <n v="1032"/>
    <x v="17"/>
    <x v="3"/>
    <x v="3"/>
    <s v="Guest 17"/>
    <n v="7"/>
    <s v="Standard"/>
    <n v="900"/>
    <s v="Confirmed"/>
    <x v="0"/>
  </r>
  <r>
    <n v="1033"/>
    <x v="27"/>
    <x v="3"/>
    <x v="2"/>
    <s v="Guest 90"/>
    <n v="4"/>
    <s v="Suite"/>
    <n v="1180"/>
    <s v="Cancelled"/>
    <x v="2"/>
  </r>
  <r>
    <n v="1034"/>
    <x v="28"/>
    <x v="2"/>
    <x v="1"/>
    <s v="Guest 57"/>
    <n v="5"/>
    <s v="Suite"/>
    <n v="2920"/>
    <s v="Confirmed"/>
    <x v="2"/>
  </r>
  <r>
    <n v="1035"/>
    <x v="29"/>
    <x v="1"/>
    <x v="0"/>
    <s v="Guest 119"/>
    <n v="7"/>
    <s v="Suite"/>
    <n v="2780"/>
    <s v="Completed"/>
    <x v="2"/>
  </r>
  <r>
    <n v="1036"/>
    <x v="30"/>
    <x v="0"/>
    <x v="1"/>
    <s v="Guest 90"/>
    <n v="1"/>
    <s v="Deluxe"/>
    <n v="1200"/>
    <s v="Confirmed"/>
    <x v="0"/>
  </r>
  <r>
    <n v="1037"/>
    <x v="31"/>
    <x v="0"/>
    <x v="0"/>
    <s v="Guest 62"/>
    <n v="5"/>
    <s v="Standard"/>
    <n v="3990"/>
    <s v="Cancelled"/>
    <x v="2"/>
  </r>
  <r>
    <n v="1038"/>
    <x v="32"/>
    <x v="3"/>
    <x v="2"/>
    <s v="Guest 3"/>
    <n v="5"/>
    <s v="Deluxe"/>
    <n v="1650"/>
    <s v="Completed"/>
    <x v="2"/>
  </r>
  <r>
    <n v="1039"/>
    <x v="33"/>
    <x v="2"/>
    <x v="2"/>
    <s v="Guest 86"/>
    <n v="2"/>
    <s v="Suite"/>
    <n v="2110"/>
    <s v="Confirmed"/>
    <x v="2"/>
  </r>
  <r>
    <n v="1040"/>
    <x v="34"/>
    <x v="0"/>
    <x v="0"/>
    <s v="Guest 115"/>
    <n v="2"/>
    <s v="Suite"/>
    <n v="2970"/>
    <s v="Completed"/>
    <x v="0"/>
  </r>
  <r>
    <n v="1042"/>
    <x v="35"/>
    <x v="2"/>
    <x v="3"/>
    <s v="Guest 65"/>
    <n v="2"/>
    <s v="Suite"/>
    <n v="2950"/>
    <s v="Confirmed"/>
    <x v="2"/>
  </r>
  <r>
    <n v="1043"/>
    <x v="36"/>
    <x v="0"/>
    <x v="2"/>
    <s v="Guest 94"/>
    <n v="5"/>
    <s v="Standard"/>
    <n v="2570"/>
    <s v="Confirmed"/>
    <x v="0"/>
  </r>
  <r>
    <n v="1044"/>
    <x v="37"/>
    <x v="1"/>
    <x v="1"/>
    <s v="Guest 9"/>
    <n v="6"/>
    <s v="Standard"/>
    <n v="3540"/>
    <s v="Confirmed"/>
    <x v="1"/>
  </r>
  <r>
    <n v="1045"/>
    <x v="38"/>
    <x v="0"/>
    <x v="3"/>
    <s v="Guest 76"/>
    <n v="4"/>
    <s v="Standard"/>
    <n v="1740"/>
    <s v="Confirmed"/>
    <x v="0"/>
  </r>
  <r>
    <n v="1046"/>
    <x v="39"/>
    <x v="0"/>
    <x v="1"/>
    <s v="Guest 77"/>
    <n v="2"/>
    <s v="Deluxe"/>
    <n v="1580"/>
    <s v="Completed"/>
    <x v="1"/>
  </r>
  <r>
    <n v="1047"/>
    <x v="40"/>
    <x v="3"/>
    <x v="2"/>
    <s v="Guest 31"/>
    <n v="6"/>
    <s v="Standard"/>
    <n v="4770"/>
    <s v="Completed"/>
    <x v="2"/>
  </r>
  <r>
    <n v="1048"/>
    <x v="41"/>
    <x v="1"/>
    <x v="2"/>
    <s v="Guest 63"/>
    <n v="4"/>
    <s v="Suite"/>
    <n v="1910"/>
    <s v="Cancelled"/>
    <x v="2"/>
  </r>
  <r>
    <n v="1049"/>
    <x v="42"/>
    <x v="0"/>
    <x v="3"/>
    <s v="Guest 91"/>
    <n v="2"/>
    <s v="Standard"/>
    <n v="3700"/>
    <s v="Confirmed"/>
    <x v="2"/>
  </r>
  <r>
    <n v="1050"/>
    <x v="43"/>
    <x v="2"/>
    <x v="3"/>
    <s v="Guest 105"/>
    <n v="3"/>
    <s v="Suite"/>
    <n v="1920"/>
    <s v="Completed"/>
    <x v="2"/>
  </r>
  <r>
    <n v="1051"/>
    <x v="44"/>
    <x v="3"/>
    <x v="2"/>
    <s v="Guest 89"/>
    <n v="5"/>
    <s v="Suite"/>
    <n v="2600"/>
    <s v="Completed"/>
    <x v="0"/>
  </r>
  <r>
    <n v="1052"/>
    <x v="45"/>
    <x v="1"/>
    <x v="0"/>
    <s v="Guest 91"/>
    <n v="7"/>
    <s v="Standard"/>
    <n v="3640"/>
    <s v="Completed"/>
    <x v="0"/>
  </r>
  <r>
    <n v="1053"/>
    <x v="46"/>
    <x v="3"/>
    <x v="3"/>
    <s v="Guest 28"/>
    <n v="1"/>
    <s v="Suite"/>
    <n v="3870"/>
    <s v="Cancelled"/>
    <x v="0"/>
  </r>
  <r>
    <n v="1054"/>
    <x v="47"/>
    <x v="0"/>
    <x v="1"/>
    <s v="Guest 13"/>
    <n v="3"/>
    <s v="Suite"/>
    <n v="560"/>
    <s v="Confirmed"/>
    <x v="0"/>
  </r>
  <r>
    <n v="1055"/>
    <x v="48"/>
    <x v="0"/>
    <x v="0"/>
    <s v="Guest 4"/>
    <n v="7"/>
    <s v="Suite"/>
    <n v="2280"/>
    <s v="Completed"/>
    <x v="1"/>
  </r>
  <r>
    <n v="1056"/>
    <x v="49"/>
    <x v="0"/>
    <x v="1"/>
    <s v="Guest 91"/>
    <n v="6"/>
    <s v="Deluxe"/>
    <n v="1060"/>
    <s v="Confirmed"/>
    <x v="1"/>
  </r>
  <r>
    <n v="1057"/>
    <x v="21"/>
    <x v="2"/>
    <x v="3"/>
    <s v="Guest 42"/>
    <n v="6"/>
    <s v="Suite"/>
    <n v="2680"/>
    <s v="Completed"/>
    <x v="0"/>
  </r>
  <r>
    <n v="1058"/>
    <x v="32"/>
    <x v="3"/>
    <x v="0"/>
    <s v="Guest 54"/>
    <n v="4"/>
    <s v="Suite"/>
    <n v="2260"/>
    <s v="Confirmed"/>
    <x v="2"/>
  </r>
  <r>
    <n v="1059"/>
    <x v="50"/>
    <x v="0"/>
    <x v="3"/>
    <s v="Guest 79"/>
    <n v="2"/>
    <s v="Deluxe"/>
    <n v="1370"/>
    <s v="Cancelled"/>
    <x v="1"/>
  </r>
  <r>
    <n v="1060"/>
    <x v="51"/>
    <x v="0"/>
    <x v="0"/>
    <s v="Guest 44"/>
    <n v="6"/>
    <s v="Suite"/>
    <n v="920"/>
    <s v="Completed"/>
    <x v="2"/>
  </r>
  <r>
    <n v="1061"/>
    <x v="52"/>
    <x v="2"/>
    <x v="0"/>
    <s v="Guest 22"/>
    <n v="2"/>
    <s v="Deluxe"/>
    <n v="3750"/>
    <s v="Completed"/>
    <x v="1"/>
  </r>
  <r>
    <n v="1062"/>
    <x v="53"/>
    <x v="2"/>
    <x v="0"/>
    <s v="Guest 5"/>
    <n v="6"/>
    <s v="Deluxe"/>
    <n v="4230"/>
    <s v="Confirmed"/>
    <x v="0"/>
  </r>
  <r>
    <n v="1063"/>
    <x v="7"/>
    <x v="1"/>
    <x v="0"/>
    <s v="Guest 92"/>
    <n v="2"/>
    <s v="Deluxe"/>
    <n v="4030"/>
    <s v="Confirmed"/>
    <x v="1"/>
  </r>
  <r>
    <n v="1064"/>
    <x v="48"/>
    <x v="3"/>
    <x v="1"/>
    <s v="Guest 24"/>
    <n v="5"/>
    <s v="Deluxe"/>
    <n v="3280"/>
    <s v="Cancelled"/>
    <x v="0"/>
  </r>
  <r>
    <n v="1065"/>
    <x v="54"/>
    <x v="1"/>
    <x v="3"/>
    <s v="Guest 74"/>
    <n v="4"/>
    <s v="Suite"/>
    <n v="4570"/>
    <s v="Cancelled"/>
    <x v="1"/>
  </r>
  <r>
    <n v="1066"/>
    <x v="55"/>
    <x v="0"/>
    <x v="1"/>
    <s v="Guest 8"/>
    <n v="5"/>
    <s v="Suite"/>
    <n v="4070"/>
    <s v="Confirmed"/>
    <x v="0"/>
  </r>
  <r>
    <n v="1067"/>
    <x v="56"/>
    <x v="3"/>
    <x v="0"/>
    <s v="Guest 96"/>
    <n v="3"/>
    <s v="Suite"/>
    <n v="900"/>
    <s v="Confirmed"/>
    <x v="0"/>
  </r>
  <r>
    <n v="1068"/>
    <x v="57"/>
    <x v="2"/>
    <x v="2"/>
    <s v="Guest 86"/>
    <n v="5"/>
    <s v="Standard"/>
    <n v="580"/>
    <s v="Confirmed"/>
    <x v="2"/>
  </r>
  <r>
    <n v="1069"/>
    <x v="45"/>
    <x v="1"/>
    <x v="3"/>
    <s v="Guest 33"/>
    <n v="4"/>
    <s v="Standard"/>
    <n v="4730"/>
    <s v="Completed"/>
    <x v="2"/>
  </r>
  <r>
    <n v="1070"/>
    <x v="58"/>
    <x v="1"/>
    <x v="1"/>
    <s v="Guest 55"/>
    <n v="2"/>
    <s v="Standard"/>
    <n v="4480"/>
    <s v="Confirmed"/>
    <x v="0"/>
  </r>
  <r>
    <n v="1071"/>
    <x v="59"/>
    <x v="3"/>
    <x v="1"/>
    <s v="Guest 40"/>
    <n v="7"/>
    <s v="Suite"/>
    <n v="1880"/>
    <s v="Completed"/>
    <x v="1"/>
  </r>
  <r>
    <n v="1072"/>
    <x v="60"/>
    <x v="0"/>
    <x v="1"/>
    <s v="Guest 79"/>
    <n v="3"/>
    <s v="Standard"/>
    <n v="2470"/>
    <s v="Completed"/>
    <x v="0"/>
  </r>
  <r>
    <n v="1073"/>
    <x v="16"/>
    <x v="3"/>
    <x v="2"/>
    <s v="Guest 73"/>
    <n v="1"/>
    <s v="Suite"/>
    <n v="2590"/>
    <s v="Completed"/>
    <x v="2"/>
  </r>
  <r>
    <n v="1074"/>
    <x v="61"/>
    <x v="0"/>
    <x v="2"/>
    <s v="Guest 105"/>
    <n v="5"/>
    <s v="Standard"/>
    <n v="3600"/>
    <s v="Completed"/>
    <x v="1"/>
  </r>
  <r>
    <n v="1075"/>
    <x v="62"/>
    <x v="2"/>
    <x v="2"/>
    <s v="Guest 60"/>
    <n v="2"/>
    <s v="Deluxe"/>
    <n v="2580"/>
    <s v="Cancelled"/>
    <x v="2"/>
  </r>
  <r>
    <n v="1076"/>
    <x v="63"/>
    <x v="0"/>
    <x v="2"/>
    <s v="Guest 58"/>
    <n v="6"/>
    <s v="Standard"/>
    <n v="4450"/>
    <s v="Cancelled"/>
    <x v="2"/>
  </r>
  <r>
    <n v="1077"/>
    <x v="25"/>
    <x v="0"/>
    <x v="3"/>
    <s v="Guest 110"/>
    <n v="1"/>
    <s v="Standard"/>
    <n v="520"/>
    <s v="Completed"/>
    <x v="2"/>
  </r>
  <r>
    <n v="1078"/>
    <x v="64"/>
    <x v="3"/>
    <x v="3"/>
    <s v="Guest 105"/>
    <n v="1"/>
    <s v="Suite"/>
    <n v="4100"/>
    <s v="Completed"/>
    <x v="1"/>
  </r>
  <r>
    <n v="1079"/>
    <x v="65"/>
    <x v="3"/>
    <x v="0"/>
    <s v="Guest 60"/>
    <n v="6"/>
    <s v="Standard"/>
    <n v="1930"/>
    <s v="Confirmed"/>
    <x v="0"/>
  </r>
  <r>
    <n v="1080"/>
    <x v="30"/>
    <x v="1"/>
    <x v="1"/>
    <s v="Guest 61"/>
    <n v="3"/>
    <s v="Standard"/>
    <n v="630"/>
    <s v="Cancelled"/>
    <x v="1"/>
  </r>
  <r>
    <n v="1081"/>
    <x v="66"/>
    <x v="2"/>
    <x v="0"/>
    <s v="Guest 102"/>
    <n v="3"/>
    <s v="Suite"/>
    <n v="660"/>
    <s v="Confirmed"/>
    <x v="0"/>
  </r>
  <r>
    <n v="1082"/>
    <x v="67"/>
    <x v="3"/>
    <x v="1"/>
    <s v="Guest 84"/>
    <n v="7"/>
    <s v="Deluxe"/>
    <n v="2910"/>
    <s v="Cancelled"/>
    <x v="1"/>
  </r>
  <r>
    <n v="1083"/>
    <x v="18"/>
    <x v="2"/>
    <x v="2"/>
    <s v="Guest 81"/>
    <n v="6"/>
    <s v="Standard"/>
    <n v="4240"/>
    <s v="Cancelled"/>
    <x v="2"/>
  </r>
  <r>
    <n v="1084"/>
    <x v="68"/>
    <x v="1"/>
    <x v="3"/>
    <s v="Guest 11"/>
    <n v="1"/>
    <s v="Deluxe"/>
    <n v="2260"/>
    <s v="Completed"/>
    <x v="0"/>
  </r>
  <r>
    <n v="1085"/>
    <x v="69"/>
    <x v="0"/>
    <x v="0"/>
    <s v="Guest 100"/>
    <n v="7"/>
    <s v="Standard"/>
    <n v="4640"/>
    <s v="Confirmed"/>
    <x v="2"/>
  </r>
  <r>
    <n v="1086"/>
    <x v="16"/>
    <x v="3"/>
    <x v="1"/>
    <s v="Guest 84"/>
    <n v="7"/>
    <s v="Standard"/>
    <n v="540"/>
    <s v="Completed"/>
    <x v="2"/>
  </r>
  <r>
    <n v="1087"/>
    <x v="70"/>
    <x v="1"/>
    <x v="0"/>
    <s v="Guest 11"/>
    <n v="4"/>
    <s v="Deluxe"/>
    <n v="3840"/>
    <s v="Cancelled"/>
    <x v="2"/>
  </r>
  <r>
    <n v="1088"/>
    <x v="71"/>
    <x v="1"/>
    <x v="1"/>
    <s v="Guest 53"/>
    <n v="5"/>
    <s v="Deluxe"/>
    <n v="3140"/>
    <s v="Cancelled"/>
    <x v="1"/>
  </r>
  <r>
    <n v="1089"/>
    <x v="72"/>
    <x v="1"/>
    <x v="3"/>
    <s v="Guest 96"/>
    <n v="4"/>
    <s v="Deluxe"/>
    <n v="1850"/>
    <s v="Cancelled"/>
    <x v="1"/>
  </r>
  <r>
    <n v="1090"/>
    <x v="73"/>
    <x v="1"/>
    <x v="2"/>
    <s v="Guest 116"/>
    <n v="2"/>
    <s v="Suite"/>
    <n v="2710"/>
    <s v="Completed"/>
    <x v="2"/>
  </r>
  <r>
    <n v="1091"/>
    <x v="71"/>
    <x v="3"/>
    <x v="3"/>
    <s v="Guest 24"/>
    <n v="6"/>
    <s v="Suite"/>
    <n v="2390"/>
    <s v="Completed"/>
    <x v="0"/>
  </r>
  <r>
    <n v="1092"/>
    <x v="74"/>
    <x v="2"/>
    <x v="0"/>
    <s v="Guest 68"/>
    <n v="2"/>
    <s v="Standard"/>
    <n v="2690"/>
    <s v="Completed"/>
    <x v="0"/>
  </r>
  <r>
    <n v="1093"/>
    <x v="40"/>
    <x v="2"/>
    <x v="2"/>
    <s v="Guest 102"/>
    <n v="4"/>
    <s v="Suite"/>
    <n v="850"/>
    <s v="Confirmed"/>
    <x v="2"/>
  </r>
  <r>
    <n v="1094"/>
    <x v="75"/>
    <x v="1"/>
    <x v="0"/>
    <s v="Guest 33"/>
    <n v="3"/>
    <s v="Suite"/>
    <n v="2210"/>
    <s v="Completed"/>
    <x v="2"/>
  </r>
  <r>
    <n v="1095"/>
    <x v="76"/>
    <x v="0"/>
    <x v="3"/>
    <s v="Guest 75"/>
    <n v="3"/>
    <s v="Deluxe"/>
    <n v="3770"/>
    <s v="Confirmed"/>
    <x v="2"/>
  </r>
  <r>
    <n v="1096"/>
    <x v="77"/>
    <x v="0"/>
    <x v="2"/>
    <s v="Guest 95"/>
    <n v="4"/>
    <s v="Suite"/>
    <n v="4210"/>
    <s v="Confirmed"/>
    <x v="1"/>
  </r>
  <r>
    <n v="1097"/>
    <x v="78"/>
    <x v="0"/>
    <x v="3"/>
    <s v="Guest 82"/>
    <n v="7"/>
    <s v="Deluxe"/>
    <n v="1990"/>
    <s v="Completed"/>
    <x v="0"/>
  </r>
  <r>
    <n v="1098"/>
    <x v="79"/>
    <x v="3"/>
    <x v="1"/>
    <s v="Guest 17"/>
    <n v="3"/>
    <s v="Deluxe"/>
    <n v="2320"/>
    <s v="Cancelled"/>
    <x v="0"/>
  </r>
  <r>
    <n v="1099"/>
    <x v="80"/>
    <x v="0"/>
    <x v="0"/>
    <s v="Guest 108"/>
    <n v="6"/>
    <s v="Suite"/>
    <n v="3020"/>
    <s v="Cancelled"/>
    <x v="1"/>
  </r>
  <r>
    <n v="1100"/>
    <x v="55"/>
    <x v="0"/>
    <x v="1"/>
    <s v="Guest 106"/>
    <n v="4"/>
    <s v="Standard"/>
    <n v="2440"/>
    <s v="Confirmed"/>
    <x v="1"/>
  </r>
  <r>
    <n v="1101"/>
    <x v="81"/>
    <x v="0"/>
    <x v="1"/>
    <s v="Guest 36"/>
    <n v="3"/>
    <s v="Suite"/>
    <n v="4480"/>
    <s v="Completed"/>
    <x v="1"/>
  </r>
  <r>
    <n v="1102"/>
    <x v="82"/>
    <x v="2"/>
    <x v="3"/>
    <s v="Guest 70"/>
    <n v="4"/>
    <s v="Suite"/>
    <n v="4670"/>
    <s v="Confirmed"/>
    <x v="1"/>
  </r>
  <r>
    <n v="1103"/>
    <x v="72"/>
    <x v="2"/>
    <x v="2"/>
    <s v="Guest 114"/>
    <n v="2"/>
    <s v="Suite"/>
    <n v="4090"/>
    <s v="Completed"/>
    <x v="1"/>
  </r>
  <r>
    <n v="1104"/>
    <x v="83"/>
    <x v="3"/>
    <x v="3"/>
    <s v="Guest 88"/>
    <n v="7"/>
    <s v="Standard"/>
    <n v="3880"/>
    <s v="Confirmed"/>
    <x v="1"/>
  </r>
  <r>
    <n v="1105"/>
    <x v="84"/>
    <x v="3"/>
    <x v="2"/>
    <s v="Guest 116"/>
    <n v="6"/>
    <s v="Deluxe"/>
    <n v="1640"/>
    <s v="Confirmed"/>
    <x v="1"/>
  </r>
  <r>
    <n v="1106"/>
    <x v="79"/>
    <x v="0"/>
    <x v="1"/>
    <s v="Guest 98"/>
    <n v="1"/>
    <s v="Suite"/>
    <n v="2730"/>
    <s v="Completed"/>
    <x v="2"/>
  </r>
  <r>
    <n v="1107"/>
    <x v="85"/>
    <x v="0"/>
    <x v="2"/>
    <s v="Guest 104"/>
    <n v="2"/>
    <s v="Suite"/>
    <n v="3920"/>
    <s v="Completed"/>
    <x v="2"/>
  </r>
  <r>
    <n v="1108"/>
    <x v="86"/>
    <x v="0"/>
    <x v="2"/>
    <s v="Guest 25"/>
    <n v="5"/>
    <s v="Deluxe"/>
    <n v="4610"/>
    <s v="Completed"/>
    <x v="0"/>
  </r>
  <r>
    <n v="1109"/>
    <x v="87"/>
    <x v="0"/>
    <x v="0"/>
    <s v="Guest 74"/>
    <n v="7"/>
    <s v="Standard"/>
    <n v="3670"/>
    <s v="Cancelled"/>
    <x v="2"/>
  </r>
  <r>
    <n v="1110"/>
    <x v="88"/>
    <x v="2"/>
    <x v="0"/>
    <s v="Guest 113"/>
    <n v="5"/>
    <s v="Suite"/>
    <n v="4110"/>
    <s v="Cancelled"/>
    <x v="1"/>
  </r>
  <r>
    <n v="1111"/>
    <x v="52"/>
    <x v="0"/>
    <x v="2"/>
    <s v="Guest 19"/>
    <n v="1"/>
    <s v="Deluxe"/>
    <n v="630"/>
    <s v="Confirmed"/>
    <x v="2"/>
  </r>
  <r>
    <n v="1112"/>
    <x v="89"/>
    <x v="2"/>
    <x v="1"/>
    <s v="Guest 55"/>
    <n v="2"/>
    <s v="Deluxe"/>
    <n v="1180"/>
    <s v="Confirmed"/>
    <x v="0"/>
  </r>
  <r>
    <n v="1113"/>
    <x v="76"/>
    <x v="3"/>
    <x v="2"/>
    <s v="Guest 113"/>
    <n v="2"/>
    <s v="Deluxe"/>
    <n v="1560"/>
    <s v="Cancelled"/>
    <x v="2"/>
  </r>
  <r>
    <n v="1114"/>
    <x v="90"/>
    <x v="1"/>
    <x v="1"/>
    <s v="Guest 98"/>
    <n v="2"/>
    <s v="Standard"/>
    <n v="2470"/>
    <s v="Completed"/>
    <x v="1"/>
  </r>
  <r>
    <n v="1115"/>
    <x v="91"/>
    <x v="2"/>
    <x v="3"/>
    <s v="Guest 98"/>
    <n v="1"/>
    <s v="Deluxe"/>
    <n v="3080"/>
    <s v="Completed"/>
    <x v="1"/>
  </r>
  <r>
    <n v="1116"/>
    <x v="69"/>
    <x v="2"/>
    <x v="1"/>
    <s v="Guest 5"/>
    <n v="1"/>
    <s v="Standard"/>
    <n v="2680"/>
    <s v="Confirmed"/>
    <x v="0"/>
  </r>
  <r>
    <n v="1117"/>
    <x v="92"/>
    <x v="1"/>
    <x v="0"/>
    <s v="Guest 41"/>
    <n v="2"/>
    <s v="Deluxe"/>
    <n v="4390"/>
    <s v="Confirmed"/>
    <x v="0"/>
  </r>
  <r>
    <n v="1118"/>
    <x v="93"/>
    <x v="2"/>
    <x v="0"/>
    <s v="Guest 37"/>
    <n v="5"/>
    <s v="Deluxe"/>
    <n v="2520"/>
    <s v="Cancelled"/>
    <x v="0"/>
  </r>
  <r>
    <n v="1119"/>
    <x v="94"/>
    <x v="3"/>
    <x v="0"/>
    <s v="Guest 98"/>
    <n v="6"/>
    <s v="Suite"/>
    <n v="1740"/>
    <s v="Completed"/>
    <x v="1"/>
  </r>
  <r>
    <n v="1120"/>
    <x v="27"/>
    <x v="1"/>
    <x v="3"/>
    <s v="Guest 59"/>
    <n v="2"/>
    <s v="Suite"/>
    <n v="830"/>
    <s v="Completed"/>
    <x v="2"/>
  </r>
  <r>
    <n v="1121"/>
    <x v="0"/>
    <x v="3"/>
    <x v="3"/>
    <s v="Guest 39"/>
    <n v="1"/>
    <s v="Suite"/>
    <n v="1810"/>
    <s v="Cancelled"/>
    <x v="2"/>
  </r>
  <r>
    <n v="1122"/>
    <x v="95"/>
    <x v="2"/>
    <x v="1"/>
    <s v="Guest 52"/>
    <n v="4"/>
    <s v="Deluxe"/>
    <n v="4780"/>
    <s v="Cancelled"/>
    <x v="2"/>
  </r>
  <r>
    <n v="1123"/>
    <x v="10"/>
    <x v="1"/>
    <x v="3"/>
    <s v="Guest 105"/>
    <n v="2"/>
    <s v="Suite"/>
    <n v="4660"/>
    <s v="Confirmed"/>
    <x v="0"/>
  </r>
  <r>
    <n v="1124"/>
    <x v="63"/>
    <x v="2"/>
    <x v="3"/>
    <s v="Guest 46"/>
    <n v="2"/>
    <s v="Standard"/>
    <n v="1230"/>
    <s v="Cancelled"/>
    <x v="2"/>
  </r>
  <r>
    <n v="1125"/>
    <x v="96"/>
    <x v="2"/>
    <x v="1"/>
    <s v="Guest 4"/>
    <n v="1"/>
    <s v="Standard"/>
    <n v="2190"/>
    <s v="Cancelled"/>
    <x v="2"/>
  </r>
  <r>
    <n v="1126"/>
    <x v="29"/>
    <x v="0"/>
    <x v="0"/>
    <s v="Guest 111"/>
    <n v="2"/>
    <s v="Suite"/>
    <n v="4880"/>
    <s v="Cancelled"/>
    <x v="1"/>
  </r>
  <r>
    <n v="1127"/>
    <x v="5"/>
    <x v="0"/>
    <x v="2"/>
    <s v="Guest 2"/>
    <n v="4"/>
    <s v="Suite"/>
    <n v="710"/>
    <s v="Cancelled"/>
    <x v="2"/>
  </r>
  <r>
    <n v="1128"/>
    <x v="56"/>
    <x v="3"/>
    <x v="1"/>
    <s v="Guest 49"/>
    <n v="2"/>
    <s v="Deluxe"/>
    <n v="3580"/>
    <s v="Completed"/>
    <x v="1"/>
  </r>
  <r>
    <n v="1129"/>
    <x v="97"/>
    <x v="1"/>
    <x v="2"/>
    <s v="Guest 30"/>
    <n v="5"/>
    <s v="Deluxe"/>
    <n v="4310"/>
    <s v="Confirmed"/>
    <x v="0"/>
  </r>
  <r>
    <n v="1130"/>
    <x v="22"/>
    <x v="1"/>
    <x v="1"/>
    <s v="Guest 13"/>
    <n v="2"/>
    <s v="Deluxe"/>
    <n v="4910"/>
    <s v="Cancelled"/>
    <x v="0"/>
  </r>
  <r>
    <n v="1131"/>
    <x v="33"/>
    <x v="2"/>
    <x v="1"/>
    <s v="Guest 26"/>
    <n v="7"/>
    <s v="Suite"/>
    <n v="3710"/>
    <s v="Cancelled"/>
    <x v="1"/>
  </r>
  <r>
    <n v="1132"/>
    <x v="98"/>
    <x v="1"/>
    <x v="2"/>
    <s v="Guest 8"/>
    <n v="6"/>
    <s v="Suite"/>
    <n v="3650"/>
    <s v="Cancelled"/>
    <x v="1"/>
  </r>
  <r>
    <n v="1133"/>
    <x v="3"/>
    <x v="0"/>
    <x v="1"/>
    <s v="Guest 32"/>
    <n v="6"/>
    <s v="Standard"/>
    <n v="570"/>
    <s v="Confirmed"/>
    <x v="0"/>
  </r>
  <r>
    <n v="1134"/>
    <x v="9"/>
    <x v="0"/>
    <x v="3"/>
    <s v="Guest 75"/>
    <n v="1"/>
    <s v="Standard"/>
    <n v="920"/>
    <s v="Cancelled"/>
    <x v="2"/>
  </r>
  <r>
    <n v="1135"/>
    <x v="99"/>
    <x v="0"/>
    <x v="1"/>
    <s v="Guest 97"/>
    <n v="5"/>
    <s v="Standard"/>
    <n v="4440"/>
    <s v="Completed"/>
    <x v="0"/>
  </r>
  <r>
    <n v="1136"/>
    <x v="100"/>
    <x v="3"/>
    <x v="3"/>
    <s v="Guest 1"/>
    <n v="1"/>
    <s v="Standard"/>
    <n v="1690"/>
    <s v="Completed"/>
    <x v="1"/>
  </r>
  <r>
    <n v="1137"/>
    <x v="0"/>
    <x v="0"/>
    <x v="0"/>
    <s v="Guest 11"/>
    <n v="2"/>
    <s v="Standard"/>
    <n v="3020"/>
    <s v="Cancelled"/>
    <x v="2"/>
  </r>
  <r>
    <n v="1138"/>
    <x v="101"/>
    <x v="1"/>
    <x v="0"/>
    <s v="Guest 79"/>
    <n v="5"/>
    <s v="Standard"/>
    <n v="2740"/>
    <s v="Cancelled"/>
    <x v="1"/>
  </r>
  <r>
    <n v="1139"/>
    <x v="102"/>
    <x v="3"/>
    <x v="2"/>
    <s v="Guest 120"/>
    <n v="3"/>
    <s v="Standard"/>
    <n v="4380"/>
    <s v="Completed"/>
    <x v="2"/>
  </r>
  <r>
    <n v="1140"/>
    <x v="60"/>
    <x v="0"/>
    <x v="1"/>
    <s v="Guest 52"/>
    <n v="6"/>
    <s v="Deluxe"/>
    <n v="3570"/>
    <s v="Confirmed"/>
    <x v="2"/>
  </r>
  <r>
    <n v="1141"/>
    <x v="103"/>
    <x v="0"/>
    <x v="0"/>
    <s v="Guest 65"/>
    <n v="3"/>
    <s v="Deluxe"/>
    <n v="4670"/>
    <s v="Confirmed"/>
    <x v="2"/>
  </r>
  <r>
    <n v="1142"/>
    <x v="104"/>
    <x v="3"/>
    <x v="1"/>
    <s v="Guest 2"/>
    <n v="2"/>
    <s v="Standard"/>
    <n v="3990"/>
    <s v="Cancelled"/>
    <x v="0"/>
  </r>
  <r>
    <n v="1143"/>
    <x v="105"/>
    <x v="0"/>
    <x v="0"/>
    <s v="Guest 43"/>
    <n v="5"/>
    <s v="Suite"/>
    <n v="4830"/>
    <s v="Cancelled"/>
    <x v="2"/>
  </r>
  <r>
    <n v="1144"/>
    <x v="78"/>
    <x v="2"/>
    <x v="2"/>
    <s v="Guest 40"/>
    <n v="3"/>
    <s v="Standard"/>
    <n v="4090"/>
    <s v="Cancelled"/>
    <x v="1"/>
  </r>
  <r>
    <n v="1145"/>
    <x v="106"/>
    <x v="2"/>
    <x v="0"/>
    <s v="Guest 57"/>
    <n v="1"/>
    <s v="Suite"/>
    <n v="3210"/>
    <s v="Completed"/>
    <x v="0"/>
  </r>
  <r>
    <n v="1146"/>
    <x v="107"/>
    <x v="2"/>
    <x v="2"/>
    <s v="Guest 76"/>
    <n v="5"/>
    <s v="Suite"/>
    <n v="590"/>
    <s v="Cancelled"/>
    <x v="0"/>
  </r>
  <r>
    <n v="1147"/>
    <x v="92"/>
    <x v="0"/>
    <x v="3"/>
    <s v="Guest 34"/>
    <n v="7"/>
    <s v="Standard"/>
    <n v="3150"/>
    <s v="Confirmed"/>
    <x v="2"/>
  </r>
  <r>
    <n v="1148"/>
    <x v="108"/>
    <x v="2"/>
    <x v="0"/>
    <s v="Guest 36"/>
    <n v="6"/>
    <s v="Deluxe"/>
    <n v="3490"/>
    <s v="Completed"/>
    <x v="1"/>
  </r>
  <r>
    <n v="1149"/>
    <x v="109"/>
    <x v="2"/>
    <x v="0"/>
    <s v="Guest 50"/>
    <n v="2"/>
    <s v="Standard"/>
    <n v="540"/>
    <s v="Cancelled"/>
    <x v="0"/>
  </r>
  <r>
    <n v="1150"/>
    <x v="110"/>
    <x v="1"/>
    <x v="1"/>
    <s v="Guest 113"/>
    <n v="3"/>
    <s v="Suite"/>
    <n v="4690"/>
    <s v="Confirmed"/>
    <x v="0"/>
  </r>
  <r>
    <n v="1151"/>
    <x v="33"/>
    <x v="0"/>
    <x v="1"/>
    <s v="Guest 19"/>
    <n v="5"/>
    <s v="Standard"/>
    <n v="3540"/>
    <s v="Confirmed"/>
    <x v="2"/>
  </r>
  <r>
    <n v="1152"/>
    <x v="88"/>
    <x v="2"/>
    <x v="3"/>
    <s v="Guest 113"/>
    <n v="1"/>
    <s v="Standard"/>
    <n v="4200"/>
    <s v="Cancelled"/>
    <x v="2"/>
  </r>
  <r>
    <n v="1153"/>
    <x v="111"/>
    <x v="1"/>
    <x v="0"/>
    <s v="Guest 52"/>
    <n v="6"/>
    <s v="Suite"/>
    <n v="3730"/>
    <s v="Cancelled"/>
    <x v="2"/>
  </r>
  <r>
    <n v="1154"/>
    <x v="71"/>
    <x v="0"/>
    <x v="1"/>
    <s v="Guest 31"/>
    <n v="3"/>
    <s v="Standard"/>
    <n v="1590"/>
    <s v="Completed"/>
    <x v="1"/>
  </r>
  <r>
    <n v="1155"/>
    <x v="34"/>
    <x v="0"/>
    <x v="1"/>
    <s v="Guest 26"/>
    <n v="4"/>
    <s v="Deluxe"/>
    <n v="670"/>
    <s v="Completed"/>
    <x v="1"/>
  </r>
  <r>
    <n v="1156"/>
    <x v="51"/>
    <x v="3"/>
    <x v="3"/>
    <s v="Guest 88"/>
    <n v="3"/>
    <s v="Suite"/>
    <n v="3500"/>
    <s v="Cancelled"/>
    <x v="2"/>
  </r>
  <r>
    <n v="1157"/>
    <x v="112"/>
    <x v="0"/>
    <x v="0"/>
    <s v="Guest 109"/>
    <n v="2"/>
    <s v="Standard"/>
    <n v="3050"/>
    <s v="Completed"/>
    <x v="2"/>
  </r>
  <r>
    <n v="1158"/>
    <x v="87"/>
    <x v="3"/>
    <x v="1"/>
    <s v="Guest 83"/>
    <n v="5"/>
    <s v="Standard"/>
    <n v="4360"/>
    <s v="Confirmed"/>
    <x v="1"/>
  </r>
  <r>
    <n v="1159"/>
    <x v="113"/>
    <x v="1"/>
    <x v="1"/>
    <s v="Guest 40"/>
    <n v="3"/>
    <s v="Suite"/>
    <n v="2010"/>
    <s v="Confirmed"/>
    <x v="2"/>
  </r>
  <r>
    <n v="1160"/>
    <x v="114"/>
    <x v="1"/>
    <x v="3"/>
    <s v="Guest 86"/>
    <n v="7"/>
    <s v="Suite"/>
    <n v="3740"/>
    <s v="Confirmed"/>
    <x v="2"/>
  </r>
  <r>
    <n v="1161"/>
    <x v="115"/>
    <x v="0"/>
    <x v="0"/>
    <s v="Guest 69"/>
    <n v="2"/>
    <s v="Suite"/>
    <n v="2580"/>
    <s v="Cancelled"/>
    <x v="0"/>
  </r>
  <r>
    <n v="1162"/>
    <x v="53"/>
    <x v="1"/>
    <x v="2"/>
    <s v="Guest 70"/>
    <n v="2"/>
    <s v="Suite"/>
    <n v="3210"/>
    <s v="Cancelled"/>
    <x v="0"/>
  </r>
  <r>
    <n v="1163"/>
    <x v="116"/>
    <x v="0"/>
    <x v="0"/>
    <s v="Guest 24"/>
    <n v="5"/>
    <s v="Standard"/>
    <n v="3030"/>
    <s v="Completed"/>
    <x v="1"/>
  </r>
  <r>
    <n v="1164"/>
    <x v="101"/>
    <x v="0"/>
    <x v="1"/>
    <s v="Guest 79"/>
    <n v="2"/>
    <s v="Suite"/>
    <n v="4140"/>
    <s v="Completed"/>
    <x v="1"/>
  </r>
  <r>
    <n v="1165"/>
    <x v="106"/>
    <x v="1"/>
    <x v="3"/>
    <s v="Guest 76"/>
    <n v="5"/>
    <s v="Suite"/>
    <n v="4150"/>
    <s v="Confirmed"/>
    <x v="0"/>
  </r>
  <r>
    <n v="1166"/>
    <x v="77"/>
    <x v="2"/>
    <x v="0"/>
    <s v="Guest 37"/>
    <n v="4"/>
    <s v="Suite"/>
    <n v="3360"/>
    <s v="Cancelled"/>
    <x v="0"/>
  </r>
  <r>
    <n v="1167"/>
    <x v="98"/>
    <x v="3"/>
    <x v="1"/>
    <s v="Guest 31"/>
    <n v="2"/>
    <s v="Standard"/>
    <n v="1560"/>
    <s v="Cancelled"/>
    <x v="1"/>
  </r>
  <r>
    <n v="1168"/>
    <x v="18"/>
    <x v="1"/>
    <x v="0"/>
    <s v="Guest 40"/>
    <n v="3"/>
    <s v="Suite"/>
    <n v="2310"/>
    <s v="Confirmed"/>
    <x v="0"/>
  </r>
  <r>
    <n v="1169"/>
    <x v="43"/>
    <x v="0"/>
    <x v="1"/>
    <s v="Guest 118"/>
    <n v="5"/>
    <s v="Standard"/>
    <n v="3200"/>
    <s v="Completed"/>
    <x v="1"/>
  </r>
  <r>
    <n v="1170"/>
    <x v="86"/>
    <x v="1"/>
    <x v="3"/>
    <s v="Guest 115"/>
    <n v="7"/>
    <s v="Suite"/>
    <n v="2750"/>
    <s v="Completed"/>
    <x v="0"/>
  </r>
  <r>
    <n v="1171"/>
    <x v="117"/>
    <x v="1"/>
    <x v="0"/>
    <s v="Guest 78"/>
    <n v="4"/>
    <s v="Standard"/>
    <n v="4070"/>
    <s v="Completed"/>
    <x v="1"/>
  </r>
  <r>
    <n v="1172"/>
    <x v="118"/>
    <x v="3"/>
    <x v="3"/>
    <s v="Guest 13"/>
    <n v="3"/>
    <s v="Suite"/>
    <n v="820"/>
    <s v="Confirmed"/>
    <x v="1"/>
  </r>
  <r>
    <n v="1173"/>
    <x v="71"/>
    <x v="3"/>
    <x v="3"/>
    <s v="Guest 120"/>
    <n v="4"/>
    <s v="Standard"/>
    <n v="4460"/>
    <s v="Confirmed"/>
    <x v="0"/>
  </r>
  <r>
    <n v="1174"/>
    <x v="119"/>
    <x v="2"/>
    <x v="2"/>
    <s v="Guest 33"/>
    <n v="2"/>
    <s v="Deluxe"/>
    <n v="3230"/>
    <s v="Confirmed"/>
    <x v="1"/>
  </r>
  <r>
    <n v="1175"/>
    <x v="106"/>
    <x v="1"/>
    <x v="2"/>
    <s v="Guest 35"/>
    <n v="5"/>
    <s v="Suite"/>
    <n v="4660"/>
    <s v="Cancelled"/>
    <x v="0"/>
  </r>
  <r>
    <n v="1176"/>
    <x v="120"/>
    <x v="3"/>
    <x v="0"/>
    <s v="Guest 111"/>
    <n v="2"/>
    <s v="Standard"/>
    <n v="560"/>
    <s v="Confirmed"/>
    <x v="0"/>
  </r>
  <r>
    <n v="1177"/>
    <x v="121"/>
    <x v="3"/>
    <x v="0"/>
    <s v="Guest 32"/>
    <n v="4"/>
    <s v="Deluxe"/>
    <n v="4140"/>
    <s v="Completed"/>
    <x v="2"/>
  </r>
  <r>
    <n v="1178"/>
    <x v="122"/>
    <x v="0"/>
    <x v="3"/>
    <s v="Guest 118"/>
    <n v="6"/>
    <s v="Standard"/>
    <n v="3160"/>
    <s v="Confirmed"/>
    <x v="1"/>
  </r>
  <r>
    <n v="1179"/>
    <x v="123"/>
    <x v="2"/>
    <x v="1"/>
    <s v="Guest 71"/>
    <n v="2"/>
    <s v="Suite"/>
    <n v="2940"/>
    <s v="Completed"/>
    <x v="0"/>
  </r>
  <r>
    <n v="1180"/>
    <x v="65"/>
    <x v="2"/>
    <x v="3"/>
    <s v="Guest 57"/>
    <n v="5"/>
    <s v="Standard"/>
    <n v="3510"/>
    <s v="Cancelled"/>
    <x v="1"/>
  </r>
  <r>
    <n v="1181"/>
    <x v="30"/>
    <x v="3"/>
    <x v="2"/>
    <s v="Guest 25"/>
    <n v="3"/>
    <s v="Deluxe"/>
    <n v="1510"/>
    <s v="Cancelled"/>
    <x v="1"/>
  </r>
  <r>
    <n v="1182"/>
    <x v="124"/>
    <x v="0"/>
    <x v="2"/>
    <s v="Guest 4"/>
    <n v="7"/>
    <s v="Suite"/>
    <n v="4110"/>
    <s v="Confirmed"/>
    <x v="0"/>
  </r>
  <r>
    <n v="1183"/>
    <x v="125"/>
    <x v="2"/>
    <x v="3"/>
    <s v="Guest 87"/>
    <n v="3"/>
    <s v="Suite"/>
    <n v="4230"/>
    <s v="Confirmed"/>
    <x v="2"/>
  </r>
  <r>
    <n v="1184"/>
    <x v="12"/>
    <x v="0"/>
    <x v="2"/>
    <s v="Guest 89"/>
    <n v="1"/>
    <s v="Standard"/>
    <n v="4820"/>
    <s v="Completed"/>
    <x v="0"/>
  </r>
  <r>
    <n v="1185"/>
    <x v="46"/>
    <x v="3"/>
    <x v="1"/>
    <s v="Guest 4"/>
    <n v="2"/>
    <s v="Suite"/>
    <n v="4010"/>
    <s v="Completed"/>
    <x v="0"/>
  </r>
  <r>
    <n v="1186"/>
    <x v="1"/>
    <x v="2"/>
    <x v="3"/>
    <s v="Guest 18"/>
    <n v="5"/>
    <s v="Deluxe"/>
    <n v="4720"/>
    <s v="Confirmed"/>
    <x v="1"/>
  </r>
  <r>
    <n v="1187"/>
    <x v="34"/>
    <x v="1"/>
    <x v="0"/>
    <s v="Guest 9"/>
    <n v="5"/>
    <s v="Standard"/>
    <n v="3620"/>
    <s v="Completed"/>
    <x v="2"/>
  </r>
  <r>
    <n v="1188"/>
    <x v="91"/>
    <x v="3"/>
    <x v="3"/>
    <s v="Guest 14"/>
    <n v="7"/>
    <s v="Suite"/>
    <n v="920"/>
    <s v="Completed"/>
    <x v="2"/>
  </r>
  <r>
    <n v="1189"/>
    <x v="43"/>
    <x v="1"/>
    <x v="0"/>
    <s v="Guest 17"/>
    <n v="4"/>
    <s v="Suite"/>
    <n v="1460"/>
    <s v="Confirmed"/>
    <x v="0"/>
  </r>
  <r>
    <n v="1190"/>
    <x v="80"/>
    <x v="0"/>
    <x v="1"/>
    <s v="Guest 91"/>
    <n v="7"/>
    <s v="Standard"/>
    <n v="1110"/>
    <s v="Completed"/>
    <x v="0"/>
  </r>
  <r>
    <n v="1191"/>
    <x v="126"/>
    <x v="0"/>
    <x v="1"/>
    <s v="Guest 23"/>
    <n v="4"/>
    <s v="Suite"/>
    <n v="2890"/>
    <s v="Completed"/>
    <x v="1"/>
  </r>
  <r>
    <n v="1192"/>
    <x v="127"/>
    <x v="2"/>
    <x v="1"/>
    <s v="Guest 57"/>
    <n v="3"/>
    <s v="Deluxe"/>
    <n v="2180"/>
    <s v="Confirmed"/>
    <x v="2"/>
  </r>
  <r>
    <n v="1193"/>
    <x v="128"/>
    <x v="0"/>
    <x v="1"/>
    <s v="Guest 66"/>
    <n v="2"/>
    <s v="Suite"/>
    <n v="2060"/>
    <s v="Completed"/>
    <x v="0"/>
  </r>
  <r>
    <n v="1194"/>
    <x v="129"/>
    <x v="2"/>
    <x v="3"/>
    <s v="Guest 85"/>
    <n v="4"/>
    <s v="Suite"/>
    <n v="4920"/>
    <s v="Completed"/>
    <x v="0"/>
  </r>
  <r>
    <n v="1195"/>
    <x v="6"/>
    <x v="1"/>
    <x v="3"/>
    <s v="Guest 21"/>
    <n v="2"/>
    <s v="Suite"/>
    <n v="4740"/>
    <s v="Completed"/>
    <x v="0"/>
  </r>
  <r>
    <n v="1196"/>
    <x v="130"/>
    <x v="0"/>
    <x v="0"/>
    <s v="Guest 53"/>
    <n v="1"/>
    <s v="Suite"/>
    <n v="700"/>
    <s v="Cancelled"/>
    <x v="1"/>
  </r>
  <r>
    <n v="1197"/>
    <x v="5"/>
    <x v="2"/>
    <x v="2"/>
    <s v="Guest 76"/>
    <n v="3"/>
    <s v="Deluxe"/>
    <n v="1820"/>
    <s v="Confirmed"/>
    <x v="1"/>
  </r>
  <r>
    <n v="1198"/>
    <x v="126"/>
    <x v="1"/>
    <x v="0"/>
    <s v="Guest 8"/>
    <n v="7"/>
    <s v="Deluxe"/>
    <n v="2530"/>
    <s v="Completed"/>
    <x v="0"/>
  </r>
  <r>
    <n v="1199"/>
    <x v="131"/>
    <x v="1"/>
    <x v="0"/>
    <s v="Guest 94"/>
    <n v="2"/>
    <s v="Standard"/>
    <n v="1900"/>
    <s v="Confirmed"/>
    <x v="0"/>
  </r>
  <r>
    <n v="1200"/>
    <x v="128"/>
    <x v="3"/>
    <x v="3"/>
    <s v="Guest 110"/>
    <n v="3"/>
    <s v="Suite"/>
    <n v="570"/>
    <s v="Cancelled"/>
    <x v="0"/>
  </r>
  <r>
    <n v="1201"/>
    <x v="114"/>
    <x v="2"/>
    <x v="1"/>
    <s v="Guest 115"/>
    <n v="7"/>
    <s v="Standard"/>
    <n v="1560"/>
    <s v="Completed"/>
    <x v="1"/>
  </r>
  <r>
    <n v="1202"/>
    <x v="132"/>
    <x v="2"/>
    <x v="2"/>
    <s v="Guest 58"/>
    <n v="5"/>
    <s v="Suite"/>
    <n v="4170"/>
    <s v="Confirmed"/>
    <x v="1"/>
  </r>
  <r>
    <n v="1203"/>
    <x v="72"/>
    <x v="2"/>
    <x v="0"/>
    <s v="Guest 97"/>
    <n v="7"/>
    <s v="Standard"/>
    <n v="2460"/>
    <s v="Confirmed"/>
    <x v="0"/>
  </r>
  <r>
    <n v="1204"/>
    <x v="66"/>
    <x v="0"/>
    <x v="3"/>
    <s v="Guest 50"/>
    <n v="6"/>
    <s v="Suite"/>
    <n v="4740"/>
    <s v="Confirmed"/>
    <x v="0"/>
  </r>
  <r>
    <n v="1205"/>
    <x v="133"/>
    <x v="2"/>
    <x v="2"/>
    <s v="Guest 19"/>
    <n v="7"/>
    <s v="Deluxe"/>
    <n v="2700"/>
    <s v="Confirmed"/>
    <x v="1"/>
  </r>
  <r>
    <n v="1206"/>
    <x v="28"/>
    <x v="2"/>
    <x v="2"/>
    <s v="Guest 34"/>
    <n v="7"/>
    <s v="Standard"/>
    <n v="4270"/>
    <s v="Confirmed"/>
    <x v="2"/>
  </r>
  <r>
    <n v="1207"/>
    <x v="98"/>
    <x v="2"/>
    <x v="0"/>
    <s v="Guest 100"/>
    <n v="4"/>
    <s v="Deluxe"/>
    <n v="1900"/>
    <s v="Completed"/>
    <x v="0"/>
  </r>
  <r>
    <n v="1208"/>
    <x v="104"/>
    <x v="1"/>
    <x v="3"/>
    <s v="Guest 32"/>
    <n v="7"/>
    <s v="Deluxe"/>
    <n v="3400"/>
    <s v="Confirmed"/>
    <x v="0"/>
  </r>
  <r>
    <n v="1209"/>
    <x v="134"/>
    <x v="0"/>
    <x v="3"/>
    <s v="Guest 34"/>
    <n v="2"/>
    <s v="Suite"/>
    <n v="1690"/>
    <s v="Cancelled"/>
    <x v="1"/>
  </r>
  <r>
    <n v="1210"/>
    <x v="123"/>
    <x v="3"/>
    <x v="3"/>
    <s v="Guest 65"/>
    <n v="5"/>
    <s v="Deluxe"/>
    <n v="2660"/>
    <s v="Confirmed"/>
    <x v="0"/>
  </r>
  <r>
    <n v="1211"/>
    <x v="86"/>
    <x v="3"/>
    <x v="2"/>
    <s v="Guest 58"/>
    <n v="7"/>
    <s v="Standard"/>
    <n v="600"/>
    <s v="Cancelled"/>
    <x v="2"/>
  </r>
  <r>
    <n v="1212"/>
    <x v="77"/>
    <x v="3"/>
    <x v="1"/>
    <s v="Guest 109"/>
    <n v="4"/>
    <s v="Suite"/>
    <n v="950"/>
    <s v="Confirmed"/>
    <x v="2"/>
  </r>
  <r>
    <n v="1213"/>
    <x v="27"/>
    <x v="0"/>
    <x v="3"/>
    <s v="Guest 78"/>
    <n v="5"/>
    <s v="Suite"/>
    <n v="2940"/>
    <s v="Confirmed"/>
    <x v="0"/>
  </r>
  <r>
    <n v="1214"/>
    <x v="65"/>
    <x v="0"/>
    <x v="2"/>
    <s v="Guest 107"/>
    <n v="2"/>
    <s v="Deluxe"/>
    <n v="1420"/>
    <s v="Completed"/>
    <x v="0"/>
  </r>
  <r>
    <n v="1215"/>
    <x v="11"/>
    <x v="1"/>
    <x v="2"/>
    <s v="Guest 61"/>
    <n v="7"/>
    <s v="Deluxe"/>
    <n v="4990"/>
    <s v="Completed"/>
    <x v="2"/>
  </r>
  <r>
    <n v="1216"/>
    <x v="135"/>
    <x v="2"/>
    <x v="2"/>
    <s v="Guest 29"/>
    <n v="7"/>
    <s v="Standard"/>
    <n v="2100"/>
    <s v="Cancelled"/>
    <x v="1"/>
  </r>
  <r>
    <n v="1217"/>
    <x v="108"/>
    <x v="2"/>
    <x v="0"/>
    <s v="Guest 48"/>
    <n v="2"/>
    <s v="Deluxe"/>
    <n v="3870"/>
    <s v="Cancelled"/>
    <x v="1"/>
  </r>
  <r>
    <n v="1218"/>
    <x v="0"/>
    <x v="1"/>
    <x v="3"/>
    <s v="Guest 28"/>
    <n v="1"/>
    <s v="Suite"/>
    <n v="990"/>
    <s v="Completed"/>
    <x v="2"/>
  </r>
  <r>
    <n v="1219"/>
    <x v="50"/>
    <x v="0"/>
    <x v="2"/>
    <s v="Guest 118"/>
    <n v="3"/>
    <s v="Suite"/>
    <n v="1650"/>
    <s v="Completed"/>
    <x v="1"/>
  </r>
  <r>
    <n v="1220"/>
    <x v="63"/>
    <x v="3"/>
    <x v="0"/>
    <s v="Guest 67"/>
    <n v="2"/>
    <s v="Standard"/>
    <n v="4080"/>
    <s v="Completed"/>
    <x v="1"/>
  </r>
  <r>
    <n v="1221"/>
    <x v="12"/>
    <x v="0"/>
    <x v="1"/>
    <s v="Guest 19"/>
    <n v="4"/>
    <s v="Suite"/>
    <n v="940"/>
    <s v="Completed"/>
    <x v="1"/>
  </r>
  <r>
    <n v="1222"/>
    <x v="100"/>
    <x v="2"/>
    <x v="3"/>
    <s v="Guest 68"/>
    <n v="6"/>
    <s v="Deluxe"/>
    <n v="3190"/>
    <s v="Confirmed"/>
    <x v="0"/>
  </r>
  <r>
    <n v="1223"/>
    <x v="45"/>
    <x v="2"/>
    <x v="1"/>
    <s v="Guest 63"/>
    <n v="6"/>
    <s v="Suite"/>
    <n v="1660"/>
    <s v="Cancelled"/>
    <x v="2"/>
  </r>
  <r>
    <n v="1224"/>
    <x v="136"/>
    <x v="1"/>
    <x v="2"/>
    <s v="Guest 11"/>
    <n v="3"/>
    <s v="Suite"/>
    <n v="4350"/>
    <s v="Confirmed"/>
    <x v="2"/>
  </r>
  <r>
    <n v="1225"/>
    <x v="77"/>
    <x v="3"/>
    <x v="0"/>
    <s v="Guest 12"/>
    <n v="2"/>
    <s v="Suite"/>
    <n v="2480"/>
    <s v="Confirmed"/>
    <x v="0"/>
  </r>
  <r>
    <n v="1226"/>
    <x v="137"/>
    <x v="1"/>
    <x v="1"/>
    <s v="Guest 7"/>
    <n v="2"/>
    <s v="Deluxe"/>
    <n v="3220"/>
    <s v="Completed"/>
    <x v="0"/>
  </r>
  <r>
    <n v="1227"/>
    <x v="138"/>
    <x v="1"/>
    <x v="2"/>
    <s v="Guest 44"/>
    <n v="4"/>
    <s v="Standard"/>
    <n v="1940"/>
    <s v="Completed"/>
    <x v="2"/>
  </r>
  <r>
    <n v="1228"/>
    <x v="68"/>
    <x v="3"/>
    <x v="1"/>
    <s v="Guest 42"/>
    <n v="7"/>
    <s v="Deluxe"/>
    <n v="4380"/>
    <s v="Cancelled"/>
    <x v="1"/>
  </r>
  <r>
    <n v="1229"/>
    <x v="37"/>
    <x v="2"/>
    <x v="3"/>
    <s v="Guest 25"/>
    <n v="2"/>
    <s v="Deluxe"/>
    <n v="1090"/>
    <s v="Confirmed"/>
    <x v="2"/>
  </r>
  <r>
    <n v="1230"/>
    <x v="51"/>
    <x v="0"/>
    <x v="0"/>
    <s v="Guest 87"/>
    <n v="2"/>
    <s v="Deluxe"/>
    <n v="1390"/>
    <s v="Completed"/>
    <x v="2"/>
  </r>
  <r>
    <n v="1231"/>
    <x v="139"/>
    <x v="0"/>
    <x v="3"/>
    <s v="Guest 23"/>
    <n v="4"/>
    <s v="Standard"/>
    <n v="1280"/>
    <s v="Cancelled"/>
    <x v="1"/>
  </r>
  <r>
    <n v="1232"/>
    <x v="140"/>
    <x v="1"/>
    <x v="1"/>
    <s v="Guest 100"/>
    <n v="7"/>
    <s v="Deluxe"/>
    <n v="3780"/>
    <s v="Cancelled"/>
    <x v="2"/>
  </r>
  <r>
    <n v="1233"/>
    <x v="20"/>
    <x v="1"/>
    <x v="1"/>
    <s v="Guest 106"/>
    <n v="2"/>
    <s v="Suite"/>
    <n v="2310"/>
    <s v="Confirmed"/>
    <x v="1"/>
  </r>
  <r>
    <n v="1234"/>
    <x v="113"/>
    <x v="3"/>
    <x v="2"/>
    <s v="Guest 36"/>
    <n v="5"/>
    <s v="Standard"/>
    <n v="900"/>
    <s v="Completed"/>
    <x v="0"/>
  </r>
  <r>
    <n v="1235"/>
    <x v="43"/>
    <x v="2"/>
    <x v="3"/>
    <s v="Guest 101"/>
    <n v="5"/>
    <s v="Deluxe"/>
    <n v="3010"/>
    <s v="Cancelled"/>
    <x v="0"/>
  </r>
  <r>
    <n v="1236"/>
    <x v="125"/>
    <x v="1"/>
    <x v="3"/>
    <s v="Guest 110"/>
    <n v="5"/>
    <s v="Standard"/>
    <n v="860"/>
    <s v="Confirmed"/>
    <x v="0"/>
  </r>
  <r>
    <n v="1237"/>
    <x v="22"/>
    <x v="2"/>
    <x v="2"/>
    <s v="Guest 88"/>
    <n v="4"/>
    <s v="Standard"/>
    <n v="780"/>
    <s v="Cancelled"/>
    <x v="1"/>
  </r>
  <r>
    <n v="1238"/>
    <x v="112"/>
    <x v="3"/>
    <x v="3"/>
    <s v="Guest 68"/>
    <n v="5"/>
    <s v="Deluxe"/>
    <n v="4180"/>
    <s v="Cancelled"/>
    <x v="1"/>
  </r>
  <r>
    <n v="1239"/>
    <x v="118"/>
    <x v="3"/>
    <x v="2"/>
    <s v="Guest 17"/>
    <n v="5"/>
    <s v="Suite"/>
    <n v="4930"/>
    <s v="Confirmed"/>
    <x v="0"/>
  </r>
  <r>
    <n v="1240"/>
    <x v="141"/>
    <x v="0"/>
    <x v="1"/>
    <s v="Guest 50"/>
    <n v="3"/>
    <s v="Deluxe"/>
    <n v="3190"/>
    <s v="Confirmed"/>
    <x v="1"/>
  </r>
  <r>
    <n v="1241"/>
    <x v="132"/>
    <x v="0"/>
    <x v="0"/>
    <s v="Guest 1"/>
    <n v="6"/>
    <s v="Suite"/>
    <n v="520"/>
    <s v="Cancelled"/>
    <x v="1"/>
  </r>
  <r>
    <n v="1242"/>
    <x v="119"/>
    <x v="1"/>
    <x v="2"/>
    <s v="Guest 44"/>
    <n v="1"/>
    <s v="Standard"/>
    <n v="4440"/>
    <s v="Cancelled"/>
    <x v="0"/>
  </r>
  <r>
    <n v="1243"/>
    <x v="36"/>
    <x v="2"/>
    <x v="0"/>
    <s v="Guest 56"/>
    <n v="3"/>
    <s v="Suite"/>
    <n v="3780"/>
    <s v="Confirmed"/>
    <x v="1"/>
  </r>
  <r>
    <n v="1244"/>
    <x v="103"/>
    <x v="1"/>
    <x v="2"/>
    <s v="Guest 108"/>
    <n v="1"/>
    <s v="Suite"/>
    <n v="630"/>
    <s v="Completed"/>
    <x v="0"/>
  </r>
  <r>
    <n v="1245"/>
    <x v="142"/>
    <x v="3"/>
    <x v="2"/>
    <s v="Guest 71"/>
    <n v="3"/>
    <s v="Deluxe"/>
    <n v="3260"/>
    <s v="Cancelled"/>
    <x v="1"/>
  </r>
  <r>
    <n v="1246"/>
    <x v="143"/>
    <x v="0"/>
    <x v="3"/>
    <s v="Guest 8"/>
    <n v="6"/>
    <s v="Standard"/>
    <n v="4510"/>
    <s v="Completed"/>
    <x v="0"/>
  </r>
  <r>
    <n v="1247"/>
    <x v="122"/>
    <x v="0"/>
    <x v="2"/>
    <s v="Guest 69"/>
    <n v="2"/>
    <s v="Deluxe"/>
    <n v="1280"/>
    <s v="Cancelled"/>
    <x v="2"/>
  </r>
  <r>
    <n v="1248"/>
    <x v="144"/>
    <x v="2"/>
    <x v="1"/>
    <s v="Guest 68"/>
    <n v="2"/>
    <s v="Standard"/>
    <n v="4830"/>
    <s v="Confirmed"/>
    <x v="1"/>
  </r>
  <r>
    <n v="1249"/>
    <x v="41"/>
    <x v="0"/>
    <x v="0"/>
    <s v="Guest 7"/>
    <n v="2"/>
    <s v="Deluxe"/>
    <n v="530"/>
    <s v="Confirmed"/>
    <x v="0"/>
  </r>
  <r>
    <n v="1250"/>
    <x v="124"/>
    <x v="3"/>
    <x v="0"/>
    <s v="Guest 44"/>
    <n v="4"/>
    <s v="Standard"/>
    <n v="1080"/>
    <s v="Cancelled"/>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66"/>
    <x v="0"/>
  </r>
  <r>
    <n v="64"/>
    <x v="1"/>
  </r>
  <r>
    <n v="60"/>
    <x v="2"/>
  </r>
  <r>
    <n v="58"/>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n v="80"/>
    <x v="0"/>
  </r>
  <r>
    <n v="91"/>
    <x v="1"/>
  </r>
  <r>
    <n v="77"/>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n v="92"/>
    <x v="0"/>
  </r>
  <r>
    <n v="86"/>
    <x v="1"/>
  </r>
  <r>
    <n v="70"/>
    <x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n v="91"/>
    <s v="Website Reservations"/>
  </r>
  <r>
    <n v="77"/>
    <s v="Phone Reservations"/>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n v="64"/>
    <x v="0"/>
  </r>
  <r>
    <n v="60"/>
    <x v="1"/>
  </r>
  <r>
    <n v="5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ABA343-F19A-424E-AE58-87BF37F53872}" name="PivotTable2" cacheId="9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1:B16" firstHeaderRow="1" firstDataRow="1" firstDataCol="1"/>
  <pivotFields count="11">
    <pivotField showAll="0"/>
    <pivotField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5">
        <item x="0"/>
        <item x="2"/>
        <item x="3"/>
        <item x="1"/>
        <item t="default"/>
      </items>
    </pivotField>
    <pivotField axis="axisRow" showAll="0">
      <items count="7">
        <item m="1" x="4"/>
        <item x="1"/>
        <item x="3"/>
        <item x="0"/>
        <item x="2"/>
        <item m="1" x="5"/>
        <item t="default"/>
      </items>
    </pivotField>
    <pivotField showAll="0"/>
    <pivotField showAll="0"/>
    <pivotField showAll="0"/>
    <pivotField dataField="1" showAll="0"/>
    <pivotField showAll="0"/>
    <pivotField showAll="0">
      <items count="4">
        <item x="1"/>
        <item x="2"/>
        <item x="0"/>
        <item t="default"/>
      </items>
    </pivotField>
    <pivotField showAll="0">
      <items count="15">
        <item x="0"/>
        <item x="1"/>
        <item x="2"/>
        <item x="3"/>
        <item x="4"/>
        <item x="5"/>
        <item x="6"/>
        <item x="7"/>
        <item x="8"/>
        <item x="9"/>
        <item x="10"/>
        <item x="11"/>
        <item x="12"/>
        <item x="13"/>
        <item t="default"/>
      </items>
    </pivotField>
  </pivotFields>
  <rowFields count="1">
    <field x="3"/>
  </rowFields>
  <rowItems count="5">
    <i>
      <x v="1"/>
    </i>
    <i>
      <x v="2"/>
    </i>
    <i>
      <x v="3"/>
    </i>
    <i>
      <x v="4"/>
    </i>
    <i t="grand">
      <x/>
    </i>
  </rowItems>
  <colItems count="1">
    <i/>
  </colItems>
  <dataFields count="1">
    <dataField name="Sum of Revenue" fld="7" baseField="0" baseItem="0" numFmtId="165"/>
  </dataFields>
  <formats count="1">
    <format dxfId="43">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4842B6-26A0-4020-83D7-6B0634C63904}" name="PivotTable10" cacheId="9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F40:G44" firstHeaderRow="1" firstDataRow="1" firstDataCol="1"/>
  <pivotFields count="2">
    <pivotField dataField="1" showAll="0"/>
    <pivotField axis="axisRow" showAll="0">
      <items count="4">
        <item x="0"/>
        <item x="2"/>
        <item x="1"/>
        <item t="default"/>
      </items>
    </pivotField>
  </pivotFields>
  <rowFields count="1">
    <field x="1"/>
  </rowFields>
  <rowItems count="4">
    <i>
      <x/>
    </i>
    <i>
      <x v="1"/>
    </i>
    <i>
      <x v="2"/>
    </i>
    <i t="grand">
      <x/>
    </i>
  </rowItems>
  <colItems count="1">
    <i/>
  </colItems>
  <dataFields count="1">
    <dataField name="Sum of Gusts Number" fld="0"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1BE899-A377-4C29-A230-A8CD31A23D56}" name="PivotTable6" cacheId="10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7:C44" firstHeaderRow="1" firstDataRow="1" firstDataCol="0"/>
  <pivotFields count="2">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9A2DDBC-74CD-4102-A779-401E65BD01E4}" name="PivotTable3" cacheId="10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20:B24" firstHeaderRow="1" firstDataRow="1" firstDataCol="1"/>
  <pivotFields count="2">
    <pivotField dataField="1" showAll="0"/>
    <pivotField axis="axisRow" showAll="0">
      <items count="4">
        <item x="2"/>
        <item x="0"/>
        <item x="1"/>
        <item t="default"/>
      </items>
    </pivotField>
  </pivotFields>
  <rowFields count="1">
    <field x="1"/>
  </rowFields>
  <rowItems count="4">
    <i>
      <x/>
    </i>
    <i>
      <x v="1"/>
    </i>
    <i>
      <x v="2"/>
    </i>
    <i t="grand">
      <x/>
    </i>
  </rowItems>
  <colItems count="1">
    <i/>
  </colItems>
  <dataFields count="1">
    <dataField name="Sum of 66"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98ED9F-DED4-436F-81E8-2D7F1EF49D32}" name="PivotTable1" cacheId="9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8" firstHeaderRow="1" firstDataRow="1" firstDataCol="1"/>
  <pivotFields count="11">
    <pivotField showAll="0"/>
    <pivotField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5">
        <item x="0"/>
        <item x="2"/>
        <item x="3"/>
        <item x="1"/>
        <item t="default"/>
      </items>
    </pivotField>
    <pivotField showAll="0">
      <items count="7">
        <item m="1" x="4"/>
        <item x="1"/>
        <item x="3"/>
        <item x="0"/>
        <item x="2"/>
        <item m="1" x="5"/>
        <item t="default"/>
      </items>
    </pivotField>
    <pivotField showAll="0"/>
    <pivotField showAll="0"/>
    <pivotField showAll="0"/>
    <pivotField dataField="1" showAll="0"/>
    <pivotField showAll="0"/>
    <pivotField showAll="0">
      <items count="4">
        <item x="1"/>
        <item x="2"/>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5">
    <i>
      <x/>
    </i>
    <i>
      <x v="1"/>
    </i>
    <i>
      <x v="2"/>
    </i>
    <i>
      <x v="3"/>
    </i>
    <i t="grand">
      <x/>
    </i>
  </rowItems>
  <colItems count="1">
    <i/>
  </colItems>
  <dataFields count="1">
    <dataField name="Sum of Revenue" fld="7" baseField="2" baseItem="0"/>
  </dataFields>
  <formats count="1">
    <format dxfId="65">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127C00B-6A83-4AB2-83AF-9C1ABF389E1C}" name="PivotTable14" cacheId="9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55:B63" firstHeaderRow="1" firstDataRow="1" firstDataCol="1"/>
  <pivotFields count="11">
    <pivotField showAll="0"/>
    <pivotField axis="axisRow"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5">
        <item x="0"/>
        <item x="2"/>
        <item x="3"/>
        <item x="1"/>
        <item t="default"/>
      </items>
    </pivotField>
    <pivotField showAll="0">
      <items count="7">
        <item m="1" x="4"/>
        <item x="1"/>
        <item x="3"/>
        <item x="0"/>
        <item x="2"/>
        <item m="1" x="5"/>
        <item t="default"/>
      </items>
    </pivotField>
    <pivotField showAll="0"/>
    <pivotField showAll="0"/>
    <pivotField showAll="0"/>
    <pivotField dataField="1" showAll="0"/>
    <pivotField showAll="0"/>
    <pivotField showAll="0">
      <items count="4">
        <item x="1"/>
        <item x="2"/>
        <item x="0"/>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10"/>
    <field x="1"/>
  </rowFields>
  <rowItems count="8">
    <i>
      <x v="1"/>
    </i>
    <i>
      <x v="2"/>
    </i>
    <i>
      <x v="3"/>
    </i>
    <i>
      <x v="4"/>
    </i>
    <i>
      <x v="5"/>
    </i>
    <i>
      <x v="6"/>
    </i>
    <i>
      <x v="7"/>
    </i>
    <i t="grand">
      <x/>
    </i>
  </rowItems>
  <colItems count="1">
    <i/>
  </colItems>
  <dataFields count="1">
    <dataField name="Sum of Revenue" fld="7" baseField="10" baseItem="1" numFmtId="165"/>
  </dataFields>
  <formats count="2">
    <format dxfId="67">
      <pivotArea outline="0" collapsedLevelsAreSubtotals="1" fieldPosition="0"/>
    </format>
    <format dxfId="66">
      <pivotArea dataOnly="0" labelOnly="1" fieldPosition="0">
        <references count="1">
          <reference field="10" count="7">
            <x v="1"/>
            <x v="2"/>
            <x v="3"/>
            <x v="4"/>
            <x v="5"/>
            <x v="6"/>
            <x v="7"/>
          </reference>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BC34155-D398-4EEB-9FAD-53534BB39EB0}" name="PivotTable7" cacheId="1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33:G37" firstHeaderRow="1" firstDataRow="1" firstDataCol="1"/>
  <pivotFields count="2">
    <pivotField dataField="1" showAll="0"/>
    <pivotField axis="axisRow" showAll="0">
      <items count="4">
        <item x="2"/>
        <item x="1"/>
        <item x="0"/>
        <item t="default"/>
      </items>
    </pivotField>
  </pivotFields>
  <rowFields count="1">
    <field x="1"/>
  </rowFields>
  <rowItems count="4">
    <i>
      <x/>
    </i>
    <i>
      <x v="1"/>
    </i>
    <i>
      <x v="2"/>
    </i>
    <i t="grand">
      <x/>
    </i>
  </rowItems>
  <colItems count="1">
    <i/>
  </colItems>
  <dataFields count="1">
    <dataField name="Sum of Gusts Number"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64510D-4D25-4654-9459-BD4F70DE7EE6}" name="PivotTable13" cacheId="9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47:B52" firstHeaderRow="1" firstDataRow="1" firstDataCol="1"/>
  <pivotFields count="2">
    <pivotField dataField="1" showAll="0"/>
    <pivotField axis="axisRow" showAll="0">
      <items count="5">
        <item x="0"/>
        <item x="3"/>
        <item x="1"/>
        <item x="2"/>
        <item t="default"/>
      </items>
    </pivotField>
  </pivotFields>
  <rowFields count="1">
    <field x="1"/>
  </rowFields>
  <rowItems count="5">
    <i>
      <x/>
    </i>
    <i>
      <x v="1"/>
    </i>
    <i>
      <x v="2"/>
    </i>
    <i>
      <x v="3"/>
    </i>
    <i t="grand">
      <x/>
    </i>
  </rowItems>
  <colItems count="1">
    <i/>
  </colItems>
  <dataFields count="1">
    <dataField name="Sum of Gusts Number" fld="0"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tel" xr10:uid="{BDCA5174-AA87-4BEC-ADEA-F47BEEC2E5A8}" sourceName="Hotel">
  <pivotTables>
    <pivotTable tabId="2" name="PivotTable1"/>
    <pivotTable tabId="2" name="PivotTable14"/>
    <pivotTable tabId="2" name="PivotTable2"/>
  </pivotTables>
  <data>
    <tabular pivotCacheId="1546006319">
      <items count="4">
        <i x="0" s="1"/>
        <i x="2"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9EF577EC-6C6F-4FA7-9836-6F761449D104}" sourceName="City">
  <pivotTables>
    <pivotTable tabId="2" name="PivotTable1"/>
    <pivotTable tabId="2" name="PivotTable14"/>
    <pivotTable tabId="2" name="PivotTable2"/>
  </pivotTables>
  <data>
    <tabular pivotCacheId="1546006319">
      <items count="6">
        <i x="1" s="1"/>
        <i x="3" s="1"/>
        <i x="0" s="1"/>
        <i x="2" s="1"/>
        <i x="4" s="1" nd="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 xr10:uid="{97955594-F293-468E-88E3-9674B697B6EA}" sourceName="Channel">
  <pivotTables>
    <pivotTable tabId="2" name="PivotTable1"/>
    <pivotTable tabId="2" name="PivotTable14"/>
    <pivotTable tabId="2" name="PivotTable2"/>
  </pivotTables>
  <data>
    <tabular pivotCacheId="1546006319">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otel" xr10:uid="{09212DCD-3786-40DF-9EA6-B6FFDCECD331}" cache="Slicer_Hotel" caption="Hotel" style="SlicerStyleLight3" rowHeight="241300"/>
  <slicer name="City 1" xr10:uid="{97F042A0-4029-4BBC-83DD-5D468F7F8204}" cache="Slicer_City" caption="City" style="SlicerStyleLight3" rowHeight="241300"/>
  <slicer name="Channel" xr10:uid="{EA10732F-8A60-4AA0-80D0-74CE78646EA4}" cache="Slicer_Channel" caption="Channel"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896C307-E52B-4DFC-96DD-3594B0A5FEEE}" name="Table7" displayName="Table7" ref="A1:J249" totalsRowShown="0">
  <autoFilter ref="A1:J249" xr:uid="{24B0F728-79C2-4D23-99E7-740C0509F198}">
    <filterColumn colId="3">
      <filters>
        <filter val="Tehran"/>
      </filters>
    </filterColumn>
  </autoFilter>
  <tableColumns count="10">
    <tableColumn id="1" xr3:uid="{535867F7-9366-40A6-81D3-534BB65C902F}" name="BookingID"/>
    <tableColumn id="2" xr3:uid="{5EF2AE89-0390-4358-9815-F9F0AC378CC2}" name="BookingDate" dataDxfId="69"/>
    <tableColumn id="3" xr3:uid="{2F8BDC0E-B6B3-40D8-A957-72246AB24547}" name="Hotel"/>
    <tableColumn id="4" xr3:uid="{C61F25F0-822C-4C2E-AB94-D7789D2E3A2F}" name="City"/>
    <tableColumn id="5" xr3:uid="{6192796B-E916-474C-A2C9-1ED28BF0BF78}" name="Guest"/>
    <tableColumn id="6" xr3:uid="{A4E73B05-523D-4461-BADC-02BEE155FF95}" name="Nights"/>
    <tableColumn id="7" xr3:uid="{21FAE5E6-B8CC-49B1-9296-6973E22A8E52}" name="RoomType"/>
    <tableColumn id="8" xr3:uid="{7C83107A-7A5D-4972-AC94-7C0DDD170FA2}" name="Revenue" dataDxfId="68" dataCellStyle="Comma"/>
    <tableColumn id="9" xr3:uid="{94A4192F-7B4F-40BF-AE1E-36084BD3BA1B}" name="Status"/>
    <tableColumn id="10" xr3:uid="{2FF4F08A-0A3E-4A76-A8B5-45802CC9A1E2}" name="Channel"/>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67DE24-7923-4DFE-8A68-194CA5441271}" name="Table1" displayName="Table1" ref="B2:C6" totalsRowShown="0">
  <autoFilter ref="B2:C6" xr:uid="{5226B962-8A9F-4602-8B99-39FD73B6338D}"/>
  <tableColumns count="2">
    <tableColumn id="1" xr3:uid="{15C456C9-5963-47FE-B18F-65938DE0D6AE}" name="Gusts Number"/>
    <tableColumn id="2" xr3:uid="{9E86D7C5-C9FB-4FE2-9FEE-E4ED217A4438}" name="City"/>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EE5B87-AA21-4E90-AE3A-DC31D0FD7743}" name="Table2" displayName="Table2" ref="B8:C11" totalsRowShown="0">
  <autoFilter ref="B8:C11" xr:uid="{1DC5CE90-9D3A-4093-ACDC-C5BBB58A6380}"/>
  <tableColumns count="2">
    <tableColumn id="1" xr3:uid="{AA0DDF71-F8BC-425D-A08B-080A820B7202}" name="Gusts Number"/>
    <tableColumn id="2" xr3:uid="{5B2B7EB7-9E7D-4FAF-A418-0FD418748FF6}" name="Chanel"/>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38BA4B-B8D0-47D9-9160-A16C241D297E}" name="Table3" displayName="Table3" ref="B13:C16" totalsRowShown="0">
  <autoFilter ref="B13:C16" xr:uid="{7AC79199-EAE6-44EA-9E27-0E9D907DB9C9}"/>
  <tableColumns count="2">
    <tableColumn id="1" xr3:uid="{5A8A07CD-C57A-4BE1-B2FE-07A98ECF8560}" name="Gusts Number"/>
    <tableColumn id="2" xr3:uid="{697CA16B-4DC0-4482-A371-4A85D62929D9}" name="Roome Typ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200C-FFFC-493A-A633-A5FE6ABE7670}">
  <dimension ref="A1:N60"/>
  <sheetViews>
    <sheetView showGridLines="0" tabSelected="1" zoomScale="90" zoomScaleNormal="90" workbookViewId="0">
      <selection activeCell="S7" sqref="S7"/>
    </sheetView>
  </sheetViews>
  <sheetFormatPr defaultRowHeight="14.25" x14ac:dyDescent="0.45"/>
  <cols>
    <col min="4" max="4" width="14.6640625" bestFit="1" customWidth="1"/>
    <col min="10" max="10" width="9.06640625" customWidth="1"/>
  </cols>
  <sheetData>
    <row r="1" spans="1:14" ht="14.25" customHeight="1" x14ac:dyDescent="0.45">
      <c r="A1" s="33" t="s">
        <v>176</v>
      </c>
      <c r="B1" s="33"/>
      <c r="C1" s="33"/>
      <c r="D1" s="33"/>
      <c r="E1" s="33"/>
      <c r="F1" s="33"/>
      <c r="G1" s="33"/>
      <c r="H1" s="33"/>
      <c r="I1" s="33"/>
      <c r="J1" s="33"/>
      <c r="K1" s="33"/>
      <c r="L1" s="33"/>
      <c r="M1" s="33"/>
      <c r="N1" s="33"/>
    </row>
    <row r="2" spans="1:14" x14ac:dyDescent="0.45">
      <c r="A2" s="33"/>
      <c r="B2" s="33"/>
      <c r="C2" s="33"/>
      <c r="D2" s="33"/>
      <c r="E2" s="33"/>
      <c r="F2" s="33"/>
      <c r="G2" s="33"/>
      <c r="H2" s="33"/>
      <c r="I2" s="33"/>
      <c r="J2" s="33"/>
      <c r="K2" s="33"/>
      <c r="L2" s="33"/>
      <c r="M2" s="33"/>
      <c r="N2" s="33"/>
    </row>
    <row r="3" spans="1:14" x14ac:dyDescent="0.45">
      <c r="A3" s="33"/>
      <c r="B3" s="33"/>
      <c r="C3" s="33"/>
      <c r="D3" s="33"/>
      <c r="E3" s="33"/>
      <c r="F3" s="33"/>
      <c r="G3" s="33"/>
      <c r="H3" s="33"/>
      <c r="I3" s="33"/>
      <c r="J3" s="33"/>
      <c r="K3" s="33"/>
      <c r="L3" s="33"/>
      <c r="M3" s="33"/>
      <c r="N3" s="33"/>
    </row>
    <row r="4" spans="1:14" x14ac:dyDescent="0.45">
      <c r="A4" s="34" t="s">
        <v>151</v>
      </c>
      <c r="B4" s="34"/>
      <c r="C4" s="34"/>
      <c r="D4" s="34"/>
      <c r="E4" s="34"/>
      <c r="F4" s="34"/>
      <c r="G4" s="34"/>
      <c r="H4" s="34"/>
      <c r="I4" s="34"/>
      <c r="J4" s="34"/>
      <c r="K4" s="34"/>
      <c r="L4" s="34"/>
      <c r="M4" s="34"/>
      <c r="N4" s="34"/>
    </row>
    <row r="5" spans="1:14" x14ac:dyDescent="0.45">
      <c r="A5" s="22"/>
      <c r="B5" s="22"/>
      <c r="C5" s="22"/>
      <c r="D5" s="22"/>
      <c r="E5" s="22"/>
      <c r="F5" s="22"/>
      <c r="G5" s="22"/>
      <c r="H5" s="22"/>
      <c r="I5" s="22"/>
      <c r="J5" s="22"/>
      <c r="K5" s="22"/>
      <c r="L5" s="22"/>
      <c r="M5" s="22"/>
      <c r="N5" s="22"/>
    </row>
    <row r="6" spans="1:14" ht="18" x14ac:dyDescent="0.55000000000000004">
      <c r="A6" s="23" t="s">
        <v>152</v>
      </c>
      <c r="B6" s="23"/>
      <c r="C6" s="23"/>
      <c r="D6" s="24">
        <f>Calculation!B18</f>
        <v>684710</v>
      </c>
      <c r="E6" s="22"/>
      <c r="F6" s="22"/>
      <c r="G6" s="22"/>
      <c r="H6" s="22"/>
      <c r="I6" s="22"/>
      <c r="J6" s="22"/>
      <c r="K6" s="22"/>
      <c r="L6" s="22"/>
      <c r="M6" s="22"/>
      <c r="N6" s="22"/>
    </row>
    <row r="7" spans="1:14" ht="18" x14ac:dyDescent="0.55000000000000004">
      <c r="A7" s="23" t="s">
        <v>156</v>
      </c>
      <c r="B7" s="23"/>
      <c r="C7" s="23"/>
      <c r="D7" s="25">
        <f>Calculation!B19</f>
        <v>3.9556451612903225</v>
      </c>
      <c r="E7" s="22"/>
      <c r="F7" s="22"/>
      <c r="G7" s="22"/>
      <c r="H7" s="22"/>
      <c r="I7" s="22"/>
      <c r="J7" s="22"/>
      <c r="K7" s="22"/>
      <c r="L7" s="22"/>
      <c r="M7" s="22"/>
      <c r="N7" s="22"/>
    </row>
    <row r="8" spans="1:14" ht="18" x14ac:dyDescent="0.55000000000000004">
      <c r="A8" s="23" t="s">
        <v>157</v>
      </c>
      <c r="B8" s="23"/>
      <c r="C8" s="23"/>
      <c r="D8" s="26">
        <f>Calculation!B21</f>
        <v>2772.1052631578946</v>
      </c>
      <c r="E8" s="22"/>
      <c r="F8" s="22"/>
      <c r="G8" s="22"/>
      <c r="H8" s="22"/>
      <c r="I8" s="22"/>
      <c r="J8" s="22"/>
      <c r="K8" s="22"/>
      <c r="L8" s="22"/>
      <c r="M8" s="22"/>
      <c r="N8" s="22"/>
    </row>
    <row r="9" spans="1:14" ht="15.75" x14ac:dyDescent="0.5">
      <c r="A9" s="27"/>
      <c r="B9" s="27"/>
      <c r="C9" s="27"/>
      <c r="D9" s="27"/>
      <c r="E9" s="22"/>
      <c r="F9" s="22"/>
      <c r="G9" s="22"/>
      <c r="H9" s="22"/>
      <c r="I9" s="22"/>
      <c r="J9" s="22"/>
      <c r="K9" s="22"/>
      <c r="L9" s="22"/>
      <c r="M9" s="22"/>
      <c r="N9" s="22"/>
    </row>
    <row r="10" spans="1:14" ht="15.75" x14ac:dyDescent="0.5">
      <c r="A10" s="28" t="s">
        <v>161</v>
      </c>
      <c r="B10" s="28"/>
      <c r="C10" s="28"/>
      <c r="D10" s="29" t="s">
        <v>162</v>
      </c>
      <c r="E10" s="22"/>
      <c r="F10" s="22"/>
      <c r="G10" s="22"/>
      <c r="H10" s="22"/>
      <c r="I10" s="22"/>
      <c r="J10" s="22"/>
      <c r="K10" s="22"/>
      <c r="L10" s="22"/>
      <c r="M10" s="22"/>
      <c r="N10" s="22"/>
    </row>
    <row r="11" spans="1:14" ht="15.75" x14ac:dyDescent="0.5">
      <c r="A11" s="30" t="s">
        <v>19</v>
      </c>
      <c r="B11" s="30"/>
      <c r="C11" s="30"/>
      <c r="D11" s="31">
        <f>Calculation!B23</f>
        <v>74</v>
      </c>
      <c r="E11" s="22"/>
      <c r="F11" s="22"/>
      <c r="G11" s="22"/>
      <c r="H11" s="22"/>
      <c r="I11" s="22"/>
      <c r="J11" s="22"/>
      <c r="K11" s="22"/>
      <c r="L11" s="22"/>
      <c r="M11" s="22"/>
      <c r="N11" s="22"/>
    </row>
    <row r="12" spans="1:14" ht="15.75" x14ac:dyDescent="0.5">
      <c r="A12" s="30" t="s">
        <v>14</v>
      </c>
      <c r="B12" s="30"/>
      <c r="C12" s="30"/>
      <c r="D12" s="31">
        <f>Calculation!B22</f>
        <v>90</v>
      </c>
      <c r="E12" s="22"/>
      <c r="F12" s="22"/>
      <c r="G12" s="22"/>
      <c r="H12" s="22"/>
      <c r="I12" s="22"/>
      <c r="J12" s="22"/>
      <c r="K12" s="22"/>
      <c r="L12" s="22"/>
      <c r="M12" s="22"/>
      <c r="N12" s="22"/>
    </row>
    <row r="13" spans="1:14" ht="15.75" x14ac:dyDescent="0.5">
      <c r="A13" s="30" t="s">
        <v>29</v>
      </c>
      <c r="B13" s="30"/>
      <c r="C13" s="30"/>
      <c r="D13" s="31">
        <f>Calculation!B24</f>
        <v>84</v>
      </c>
      <c r="E13" s="22"/>
      <c r="F13" s="22"/>
      <c r="G13" s="22"/>
      <c r="H13" s="22"/>
      <c r="I13" s="22"/>
      <c r="J13" s="22"/>
      <c r="K13" s="22"/>
      <c r="L13" s="22"/>
      <c r="M13" s="22"/>
      <c r="N13" s="22"/>
    </row>
    <row r="14" spans="1:14" ht="15.75" x14ac:dyDescent="0.5">
      <c r="A14" s="28" t="s">
        <v>158</v>
      </c>
      <c r="B14" s="28"/>
      <c r="C14" s="28"/>
      <c r="D14" s="31">
        <f>Calculation!B20</f>
        <v>248</v>
      </c>
      <c r="E14" s="22"/>
      <c r="F14" s="22"/>
      <c r="G14" s="22"/>
      <c r="H14" s="22"/>
      <c r="I14" s="22"/>
      <c r="J14" s="22"/>
      <c r="K14" s="22"/>
      <c r="L14" s="22"/>
      <c r="M14" s="22"/>
      <c r="N14" s="22"/>
    </row>
    <row r="15" spans="1:14" x14ac:dyDescent="0.45">
      <c r="A15" s="22"/>
      <c r="B15" s="22"/>
      <c r="C15" s="22"/>
      <c r="D15" s="22"/>
      <c r="E15" s="22"/>
      <c r="F15" s="22"/>
      <c r="G15" s="22"/>
      <c r="H15" s="22"/>
      <c r="I15" s="22"/>
      <c r="J15" s="22"/>
      <c r="K15" s="22"/>
      <c r="L15" s="22"/>
      <c r="M15" s="22"/>
      <c r="N15" s="22"/>
    </row>
    <row r="16" spans="1:14" x14ac:dyDescent="0.45">
      <c r="A16" s="22"/>
      <c r="B16" s="22"/>
      <c r="C16" s="22"/>
      <c r="D16" s="22"/>
      <c r="E16" s="22"/>
      <c r="F16" s="22"/>
      <c r="G16" s="22"/>
      <c r="H16" s="22"/>
      <c r="I16" s="22"/>
      <c r="J16" s="22"/>
      <c r="K16" s="22"/>
      <c r="L16" s="22"/>
      <c r="M16" s="22"/>
      <c r="N16" s="22"/>
    </row>
    <row r="17" spans="1:14" x14ac:dyDescent="0.45">
      <c r="A17" s="22"/>
      <c r="B17" s="22"/>
      <c r="C17" s="22"/>
      <c r="D17" s="22"/>
      <c r="E17" s="22"/>
      <c r="F17" s="22"/>
      <c r="G17" s="22"/>
      <c r="H17" s="22"/>
      <c r="I17" s="22"/>
      <c r="J17" s="22"/>
      <c r="K17" s="22"/>
      <c r="L17" s="22"/>
      <c r="M17" s="22"/>
      <c r="N17" s="22"/>
    </row>
    <row r="18" spans="1:14" x14ac:dyDescent="0.45">
      <c r="A18" s="22"/>
      <c r="B18" s="22"/>
      <c r="C18" s="22"/>
      <c r="D18" s="22"/>
      <c r="E18" s="22"/>
      <c r="F18" s="22"/>
      <c r="G18" s="22"/>
      <c r="H18" s="22"/>
      <c r="I18" s="22"/>
      <c r="J18" s="22"/>
      <c r="K18" s="22"/>
      <c r="L18" s="22"/>
      <c r="M18" s="22"/>
      <c r="N18" s="22"/>
    </row>
    <row r="19" spans="1:14" x14ac:dyDescent="0.45">
      <c r="A19" s="22"/>
      <c r="B19" s="22"/>
      <c r="C19" s="22"/>
      <c r="D19" s="22"/>
      <c r="E19" s="22"/>
      <c r="F19" s="22"/>
      <c r="G19" s="22" t="s">
        <v>163</v>
      </c>
      <c r="H19" s="22"/>
      <c r="I19" s="22"/>
      <c r="J19" s="22"/>
      <c r="K19" s="22"/>
      <c r="L19" s="22"/>
      <c r="M19" s="22"/>
      <c r="N19" s="22"/>
    </row>
    <row r="20" spans="1:14" x14ac:dyDescent="0.45">
      <c r="A20" s="22"/>
      <c r="B20" s="22"/>
      <c r="C20" s="22"/>
      <c r="D20" s="22"/>
      <c r="E20" s="22"/>
      <c r="F20" s="22"/>
      <c r="G20" s="22"/>
      <c r="H20" s="22"/>
      <c r="I20" s="22"/>
      <c r="J20" s="22"/>
      <c r="K20" s="22"/>
      <c r="L20" s="22"/>
      <c r="M20" s="22"/>
      <c r="N20" s="22"/>
    </row>
    <row r="21" spans="1:14" x14ac:dyDescent="0.45">
      <c r="A21" s="22"/>
      <c r="B21" s="22"/>
      <c r="C21" s="22"/>
      <c r="D21" s="22"/>
      <c r="E21" s="22"/>
      <c r="F21" s="22"/>
      <c r="G21" s="22"/>
      <c r="H21" s="22"/>
      <c r="I21" s="22"/>
      <c r="J21" s="22"/>
      <c r="K21" s="22"/>
      <c r="L21" s="22"/>
      <c r="M21" s="22"/>
      <c r="N21" s="22"/>
    </row>
    <row r="22" spans="1:14" x14ac:dyDescent="0.45">
      <c r="A22" s="22"/>
      <c r="B22" s="22"/>
      <c r="C22" s="22"/>
      <c r="D22" s="22"/>
      <c r="E22" s="22"/>
      <c r="F22" s="22"/>
      <c r="G22" s="22"/>
      <c r="H22" s="22"/>
      <c r="I22" s="22"/>
      <c r="J22" s="22"/>
      <c r="K22" s="22"/>
      <c r="L22" s="22"/>
      <c r="M22" s="22"/>
      <c r="N22" s="22"/>
    </row>
    <row r="23" spans="1:14" x14ac:dyDescent="0.45">
      <c r="A23" s="22"/>
      <c r="B23" s="22"/>
      <c r="C23" s="22"/>
      <c r="D23" s="22"/>
      <c r="E23" s="22"/>
      <c r="F23" s="22"/>
      <c r="G23" s="22"/>
      <c r="H23" s="22"/>
      <c r="I23" s="22"/>
      <c r="J23" s="22"/>
      <c r="K23" s="22"/>
      <c r="L23" s="22"/>
      <c r="M23" s="22"/>
      <c r="N23" s="22"/>
    </row>
    <row r="24" spans="1:14" x14ac:dyDescent="0.45">
      <c r="A24" s="22"/>
      <c r="B24" s="22"/>
      <c r="C24" s="22"/>
      <c r="D24" s="22"/>
      <c r="E24" s="22"/>
      <c r="F24" s="22"/>
      <c r="G24" s="22"/>
      <c r="H24" s="22"/>
      <c r="I24" s="22"/>
      <c r="J24" s="22"/>
      <c r="K24" s="22"/>
      <c r="L24" s="22"/>
      <c r="M24" s="22"/>
      <c r="N24" s="22"/>
    </row>
    <row r="25" spans="1:14" x14ac:dyDescent="0.45">
      <c r="A25" s="22"/>
      <c r="B25" s="22"/>
      <c r="C25" s="22"/>
      <c r="D25" s="22"/>
      <c r="E25" s="22"/>
      <c r="F25" s="22"/>
      <c r="G25" s="22"/>
      <c r="H25" s="22"/>
      <c r="I25" s="22"/>
      <c r="J25" s="22"/>
      <c r="K25" s="22"/>
      <c r="L25" s="22"/>
      <c r="M25" s="22"/>
      <c r="N25" s="22"/>
    </row>
    <row r="26" spans="1:14" x14ac:dyDescent="0.45">
      <c r="A26" s="22"/>
      <c r="B26" s="22"/>
      <c r="C26" s="22"/>
      <c r="D26" s="22"/>
      <c r="E26" s="22"/>
      <c r="F26" s="22"/>
      <c r="G26" s="22"/>
      <c r="H26" s="22"/>
      <c r="I26" s="22"/>
      <c r="J26" s="22"/>
      <c r="K26" s="22"/>
      <c r="L26" s="22"/>
      <c r="M26" s="22"/>
      <c r="N26" s="22"/>
    </row>
    <row r="27" spans="1:14" x14ac:dyDescent="0.45">
      <c r="A27" s="22"/>
      <c r="B27" s="22"/>
      <c r="C27" s="22"/>
      <c r="D27" s="22"/>
      <c r="E27" s="22"/>
      <c r="F27" s="22"/>
      <c r="G27" s="22"/>
      <c r="H27" s="22"/>
      <c r="I27" s="22"/>
      <c r="J27" s="22"/>
      <c r="K27" s="22"/>
      <c r="L27" s="22"/>
      <c r="M27" s="22"/>
      <c r="N27" s="22"/>
    </row>
    <row r="28" spans="1:14" x14ac:dyDescent="0.45">
      <c r="A28" s="22"/>
      <c r="B28" s="22"/>
      <c r="C28" s="22"/>
      <c r="D28" s="22"/>
      <c r="E28" s="22"/>
      <c r="F28" s="22"/>
      <c r="G28" s="22"/>
      <c r="H28" s="22"/>
      <c r="I28" s="22"/>
      <c r="J28" s="22"/>
      <c r="K28" s="22"/>
      <c r="L28" s="22"/>
      <c r="M28" s="22"/>
      <c r="N28" s="22"/>
    </row>
    <row r="29" spans="1:14" x14ac:dyDescent="0.45">
      <c r="A29" s="22"/>
      <c r="B29" s="22"/>
      <c r="C29" s="22"/>
      <c r="D29" s="22"/>
      <c r="E29" s="22"/>
      <c r="F29" s="22"/>
      <c r="G29" s="22"/>
      <c r="H29" s="22"/>
      <c r="I29" s="22"/>
      <c r="J29" s="22"/>
      <c r="K29" s="22"/>
      <c r="L29" s="22"/>
      <c r="M29" s="22"/>
      <c r="N29" s="22"/>
    </row>
    <row r="30" spans="1:14" x14ac:dyDescent="0.45">
      <c r="A30" s="22"/>
      <c r="B30" s="22"/>
      <c r="C30" s="22"/>
      <c r="D30" s="22"/>
      <c r="E30" s="22"/>
      <c r="F30" s="22"/>
      <c r="G30" s="22"/>
      <c r="H30" s="22"/>
      <c r="I30" s="22"/>
      <c r="J30" s="22"/>
      <c r="K30" s="22"/>
      <c r="L30" s="22"/>
      <c r="M30" s="22"/>
      <c r="N30" s="22"/>
    </row>
    <row r="31" spans="1:14" x14ac:dyDescent="0.45">
      <c r="A31" s="22"/>
      <c r="B31" s="22"/>
      <c r="C31" s="22"/>
      <c r="D31" s="22"/>
      <c r="E31" s="22"/>
      <c r="F31" s="22"/>
      <c r="G31" s="22"/>
      <c r="H31" s="22"/>
      <c r="I31" s="22"/>
      <c r="J31" s="22"/>
      <c r="K31" s="22"/>
      <c r="L31" s="22"/>
      <c r="M31" s="22"/>
      <c r="N31" s="22"/>
    </row>
    <row r="32" spans="1:14" x14ac:dyDescent="0.45">
      <c r="A32" s="22"/>
      <c r="B32" s="22"/>
      <c r="C32" s="22"/>
      <c r="D32" s="22"/>
      <c r="E32" s="22"/>
      <c r="F32" s="22"/>
      <c r="G32" s="22"/>
      <c r="H32" s="22"/>
      <c r="I32" s="22"/>
      <c r="J32" s="22"/>
      <c r="K32" s="22"/>
      <c r="L32" s="22"/>
      <c r="M32" s="22"/>
      <c r="N32" s="22"/>
    </row>
    <row r="33" spans="1:14" x14ac:dyDescent="0.45">
      <c r="A33" s="22"/>
      <c r="B33" s="22"/>
      <c r="C33" s="22"/>
      <c r="D33" s="22"/>
      <c r="E33" s="22"/>
      <c r="F33" s="22"/>
      <c r="G33" s="22"/>
      <c r="H33" s="22"/>
      <c r="I33" s="22"/>
      <c r="J33" s="22"/>
      <c r="K33" s="22"/>
      <c r="L33" s="22"/>
      <c r="M33" s="22"/>
      <c r="N33" s="22"/>
    </row>
    <row r="34" spans="1:14" x14ac:dyDescent="0.45">
      <c r="A34" s="22"/>
      <c r="B34" s="22"/>
      <c r="C34" s="22"/>
      <c r="D34" s="22"/>
      <c r="E34" s="22"/>
      <c r="F34" s="22"/>
      <c r="G34" s="22"/>
      <c r="H34" s="22"/>
      <c r="I34" s="22"/>
      <c r="J34" s="22"/>
      <c r="K34" s="22"/>
      <c r="L34" s="22"/>
      <c r="M34" s="22"/>
      <c r="N34" s="22"/>
    </row>
    <row r="35" spans="1:14" x14ac:dyDescent="0.45">
      <c r="A35" s="22"/>
      <c r="B35" s="22"/>
      <c r="C35" s="22"/>
      <c r="D35" s="22"/>
      <c r="E35" s="22"/>
      <c r="F35" s="22"/>
      <c r="G35" s="22"/>
      <c r="H35" s="22"/>
      <c r="I35" s="22"/>
      <c r="J35" s="22"/>
      <c r="K35" s="22"/>
      <c r="L35" s="22"/>
      <c r="M35" s="22"/>
      <c r="N35" s="22"/>
    </row>
    <row r="36" spans="1:14" x14ac:dyDescent="0.45">
      <c r="A36" s="22"/>
      <c r="B36" s="22"/>
      <c r="C36" s="22"/>
      <c r="D36" s="22"/>
      <c r="E36" s="22"/>
      <c r="F36" s="22"/>
      <c r="G36" s="22"/>
      <c r="H36" s="22"/>
      <c r="I36" s="22"/>
      <c r="J36" s="22"/>
      <c r="K36" s="22"/>
      <c r="L36" s="22"/>
      <c r="M36" s="22"/>
      <c r="N36" s="22"/>
    </row>
    <row r="37" spans="1:14" x14ac:dyDescent="0.45">
      <c r="A37" s="22"/>
      <c r="B37" s="22"/>
      <c r="C37" s="22"/>
      <c r="D37" s="22"/>
      <c r="E37" s="22"/>
      <c r="F37" s="22"/>
      <c r="G37" s="22"/>
      <c r="H37" s="22"/>
      <c r="I37" s="22"/>
      <c r="J37" s="22"/>
      <c r="K37" s="22"/>
      <c r="L37" s="22"/>
      <c r="M37" s="22"/>
      <c r="N37" s="22"/>
    </row>
    <row r="38" spans="1:14" x14ac:dyDescent="0.45">
      <c r="A38" s="22"/>
      <c r="B38" s="22"/>
      <c r="C38" s="22"/>
      <c r="D38" s="22"/>
      <c r="E38" s="22"/>
      <c r="F38" s="22"/>
      <c r="G38" s="22"/>
      <c r="H38" s="22"/>
      <c r="I38" s="22"/>
      <c r="J38" s="22"/>
      <c r="K38" s="22"/>
      <c r="L38" s="22"/>
      <c r="M38" s="22"/>
      <c r="N38" s="22"/>
    </row>
    <row r="39" spans="1:14" x14ac:dyDescent="0.45">
      <c r="A39" s="22"/>
      <c r="B39" s="22"/>
      <c r="C39" s="22"/>
      <c r="D39" s="22"/>
      <c r="E39" s="22"/>
      <c r="F39" s="22"/>
      <c r="G39" s="22"/>
      <c r="H39" s="22"/>
      <c r="I39" s="22"/>
      <c r="J39" s="22"/>
      <c r="K39" s="22"/>
      <c r="L39" s="22"/>
      <c r="M39" s="22"/>
      <c r="N39" s="22"/>
    </row>
    <row r="40" spans="1:14" x14ac:dyDescent="0.45">
      <c r="A40" s="22"/>
      <c r="B40" s="22"/>
      <c r="C40" s="22"/>
      <c r="D40" s="22"/>
      <c r="E40" s="22"/>
      <c r="F40" s="22"/>
      <c r="G40" s="22"/>
      <c r="H40" s="22"/>
      <c r="I40" s="22"/>
      <c r="J40" s="22"/>
      <c r="K40" s="22"/>
      <c r="L40" s="22"/>
      <c r="M40" s="22"/>
      <c r="N40" s="22"/>
    </row>
    <row r="41" spans="1:14" x14ac:dyDescent="0.45">
      <c r="A41" s="22"/>
      <c r="B41" s="22"/>
      <c r="C41" s="22"/>
      <c r="D41" s="22"/>
      <c r="E41" s="22"/>
      <c r="F41" s="22"/>
      <c r="G41" s="22"/>
      <c r="H41" s="22"/>
      <c r="I41" s="22"/>
      <c r="J41" s="22"/>
      <c r="K41" s="22"/>
      <c r="L41" s="22"/>
      <c r="M41" s="22"/>
      <c r="N41" s="22"/>
    </row>
    <row r="42" spans="1:14" x14ac:dyDescent="0.45">
      <c r="A42" s="22"/>
      <c r="B42" s="22"/>
      <c r="C42" s="22"/>
      <c r="D42" s="22"/>
      <c r="E42" s="22"/>
      <c r="F42" s="22"/>
      <c r="G42" s="22"/>
      <c r="H42" s="22"/>
      <c r="I42" s="22"/>
      <c r="J42" s="22"/>
      <c r="K42" s="22"/>
      <c r="L42" s="22"/>
      <c r="M42" s="22"/>
      <c r="N42" s="22"/>
    </row>
    <row r="43" spans="1:14" x14ac:dyDescent="0.45">
      <c r="A43" s="22"/>
      <c r="B43" s="22"/>
      <c r="C43" s="22"/>
      <c r="D43" s="22"/>
      <c r="E43" s="22"/>
      <c r="F43" s="22"/>
      <c r="G43" s="22"/>
      <c r="H43" s="22"/>
      <c r="I43" s="22"/>
      <c r="J43" s="22"/>
      <c r="K43" s="22"/>
      <c r="L43" s="22"/>
      <c r="M43" s="22"/>
      <c r="N43" s="22"/>
    </row>
    <row r="44" spans="1:14" x14ac:dyDescent="0.45">
      <c r="A44" s="22"/>
      <c r="B44" s="22"/>
      <c r="C44" s="22"/>
      <c r="D44" s="22"/>
      <c r="E44" s="22"/>
      <c r="F44" s="22"/>
      <c r="G44" s="22"/>
      <c r="H44" s="22"/>
      <c r="I44" s="22"/>
      <c r="J44" s="22"/>
      <c r="K44" s="22"/>
      <c r="L44" s="22"/>
      <c r="M44" s="22"/>
      <c r="N44" s="22"/>
    </row>
    <row r="45" spans="1:14" x14ac:dyDescent="0.45">
      <c r="A45" s="22"/>
      <c r="B45" s="22"/>
      <c r="C45" s="22"/>
      <c r="D45" s="22"/>
      <c r="E45" s="22"/>
      <c r="F45" s="22"/>
      <c r="G45" s="22"/>
      <c r="H45" s="22"/>
      <c r="I45" s="22"/>
      <c r="J45" s="22"/>
      <c r="K45" s="22"/>
      <c r="L45" s="22"/>
      <c r="M45" s="22"/>
      <c r="N45" s="22"/>
    </row>
    <row r="46" spans="1:14" x14ac:dyDescent="0.45">
      <c r="A46" s="22"/>
      <c r="B46" s="22"/>
      <c r="C46" s="22"/>
      <c r="D46" s="22"/>
      <c r="E46" s="22"/>
      <c r="F46" s="22"/>
      <c r="G46" s="22"/>
      <c r="H46" s="22"/>
      <c r="I46" s="22"/>
      <c r="J46" s="22"/>
      <c r="K46" s="22"/>
      <c r="L46" s="22"/>
      <c r="M46" s="22"/>
      <c r="N46" s="22"/>
    </row>
    <row r="47" spans="1:14" x14ac:dyDescent="0.45">
      <c r="A47" s="22"/>
      <c r="B47" s="22"/>
      <c r="C47" s="22"/>
      <c r="D47" s="22"/>
      <c r="E47" s="22"/>
      <c r="F47" s="22"/>
      <c r="G47" s="22"/>
      <c r="H47" s="22"/>
      <c r="I47" s="22"/>
      <c r="J47" s="22"/>
      <c r="K47" s="22"/>
      <c r="L47" s="22"/>
      <c r="M47" s="22"/>
      <c r="N47" s="22"/>
    </row>
    <row r="48" spans="1:14" x14ac:dyDescent="0.45">
      <c r="A48" s="22"/>
      <c r="B48" s="22"/>
      <c r="C48" s="22"/>
      <c r="D48" s="22"/>
      <c r="E48" s="22"/>
      <c r="F48" s="22"/>
      <c r="G48" s="22"/>
      <c r="H48" s="22"/>
      <c r="I48" s="22"/>
      <c r="J48" s="22"/>
      <c r="K48" s="22"/>
      <c r="L48" s="22"/>
      <c r="M48" s="22"/>
      <c r="N48" s="22"/>
    </row>
    <row r="49" spans="1:14" x14ac:dyDescent="0.45">
      <c r="A49" s="22"/>
      <c r="B49" s="22"/>
      <c r="C49" s="22"/>
      <c r="D49" s="22"/>
      <c r="E49" s="22"/>
      <c r="F49" s="22"/>
      <c r="G49" s="22"/>
      <c r="H49" s="22"/>
      <c r="I49" s="22"/>
      <c r="J49" s="22"/>
      <c r="K49" s="22"/>
      <c r="L49" s="22"/>
      <c r="M49" s="22"/>
      <c r="N49" s="22"/>
    </row>
    <row r="50" spans="1:14" x14ac:dyDescent="0.45">
      <c r="A50" s="22"/>
      <c r="B50" s="22"/>
      <c r="C50" s="22"/>
      <c r="D50" s="22"/>
      <c r="E50" s="22"/>
      <c r="F50" s="22"/>
      <c r="G50" s="22"/>
      <c r="H50" s="22"/>
      <c r="I50" s="22"/>
      <c r="J50" s="22"/>
      <c r="K50" s="22"/>
      <c r="L50" s="22"/>
      <c r="M50" s="22"/>
      <c r="N50" s="22"/>
    </row>
    <row r="51" spans="1:14" ht="17.25" x14ac:dyDescent="0.45">
      <c r="A51" s="22"/>
      <c r="B51" s="22"/>
      <c r="C51" s="35" t="s">
        <v>175</v>
      </c>
      <c r="D51" s="35"/>
      <c r="E51" s="22"/>
      <c r="F51" s="22"/>
      <c r="G51" s="22"/>
      <c r="H51" s="22"/>
      <c r="I51" s="22"/>
      <c r="J51" s="22"/>
      <c r="K51" s="22"/>
      <c r="L51" s="22"/>
      <c r="M51" s="22"/>
      <c r="N51" s="22"/>
    </row>
    <row r="52" spans="1:14" x14ac:dyDescent="0.45">
      <c r="A52" s="22"/>
      <c r="B52" s="22"/>
      <c r="C52" s="22"/>
      <c r="D52" s="22"/>
      <c r="E52" s="22"/>
      <c r="F52" s="22"/>
      <c r="G52" s="22"/>
      <c r="H52" s="22"/>
      <c r="I52" s="22"/>
      <c r="J52" s="22"/>
      <c r="K52" s="22"/>
      <c r="L52" s="22"/>
      <c r="M52" s="22"/>
      <c r="N52" s="22"/>
    </row>
    <row r="53" spans="1:14" ht="17.25" x14ac:dyDescent="0.45">
      <c r="A53" s="22"/>
      <c r="B53" s="22"/>
      <c r="C53" s="37" t="s">
        <v>171</v>
      </c>
      <c r="D53" s="37"/>
      <c r="E53" s="37"/>
      <c r="F53" s="37"/>
      <c r="G53" s="37"/>
      <c r="H53" s="37"/>
      <c r="I53" s="37"/>
      <c r="J53" s="37"/>
      <c r="K53" s="32"/>
      <c r="L53" s="22"/>
      <c r="M53" s="22"/>
      <c r="N53" s="22"/>
    </row>
    <row r="54" spans="1:14" x14ac:dyDescent="0.45">
      <c r="A54" s="22"/>
      <c r="B54" s="22"/>
      <c r="C54" s="22"/>
      <c r="D54" s="22"/>
      <c r="E54" s="22"/>
      <c r="F54" s="22"/>
      <c r="G54" s="22"/>
      <c r="H54" s="22"/>
      <c r="I54" s="22"/>
      <c r="J54" s="22"/>
      <c r="K54" s="22"/>
      <c r="L54" s="22"/>
      <c r="M54" s="22"/>
      <c r="N54" s="22"/>
    </row>
    <row r="55" spans="1:14" ht="17.25" x14ac:dyDescent="0.45">
      <c r="A55" s="22"/>
      <c r="B55" s="22"/>
      <c r="C55" s="35" t="s">
        <v>173</v>
      </c>
      <c r="D55" s="35"/>
      <c r="E55" s="35"/>
      <c r="F55" s="35"/>
      <c r="G55" s="35"/>
      <c r="H55" s="35"/>
      <c r="I55" s="35"/>
      <c r="J55" s="35"/>
      <c r="K55" s="35"/>
      <c r="L55" s="22"/>
      <c r="M55" s="22"/>
      <c r="N55" s="22"/>
    </row>
    <row r="56" spans="1:14" x14ac:dyDescent="0.45">
      <c r="A56" s="22"/>
      <c r="B56" s="22"/>
      <c r="C56" s="22"/>
      <c r="D56" s="22"/>
      <c r="E56" s="22"/>
      <c r="F56" s="22"/>
      <c r="G56" s="22"/>
      <c r="H56" s="22"/>
      <c r="I56" s="22"/>
      <c r="J56" s="22"/>
      <c r="K56" s="22"/>
      <c r="L56" s="22"/>
      <c r="M56" s="22"/>
      <c r="N56" s="22"/>
    </row>
    <row r="57" spans="1:14" ht="17.25" x14ac:dyDescent="0.45">
      <c r="A57" s="22"/>
      <c r="B57" s="22"/>
      <c r="C57" s="36" t="s">
        <v>172</v>
      </c>
      <c r="D57" s="36"/>
      <c r="E57" s="36"/>
      <c r="F57" s="36"/>
      <c r="G57" s="36"/>
      <c r="H57" s="36"/>
      <c r="I57" s="36"/>
      <c r="J57" s="36"/>
      <c r="K57" s="36"/>
      <c r="L57" s="22"/>
      <c r="M57" s="22"/>
      <c r="N57" s="22"/>
    </row>
    <row r="58" spans="1:14" x14ac:dyDescent="0.45">
      <c r="A58" s="22"/>
      <c r="B58" s="22"/>
      <c r="C58" s="22"/>
      <c r="D58" s="22"/>
      <c r="E58" s="22"/>
      <c r="F58" s="22"/>
      <c r="G58" s="22"/>
      <c r="H58" s="22"/>
      <c r="I58" s="22"/>
      <c r="J58" s="22"/>
      <c r="K58" s="22"/>
      <c r="L58" s="22"/>
      <c r="M58" s="22"/>
      <c r="N58" s="22"/>
    </row>
    <row r="59" spans="1:14" ht="17.25" x14ac:dyDescent="0.45">
      <c r="A59" s="22"/>
      <c r="B59" s="22"/>
      <c r="C59" s="35" t="s">
        <v>174</v>
      </c>
      <c r="D59" s="35"/>
      <c r="E59" s="35"/>
      <c r="F59" s="35"/>
      <c r="G59" s="35"/>
      <c r="H59" s="35"/>
      <c r="I59" s="35"/>
      <c r="J59" s="35"/>
      <c r="K59" s="35"/>
      <c r="L59" s="22"/>
      <c r="M59" s="22"/>
      <c r="N59" s="22"/>
    </row>
    <row r="60" spans="1:14" x14ac:dyDescent="0.45">
      <c r="A60" s="22"/>
      <c r="B60" s="22"/>
      <c r="C60" s="22"/>
      <c r="D60" s="22"/>
      <c r="E60" s="22"/>
      <c r="F60" s="22"/>
      <c r="G60" s="22"/>
      <c r="H60" s="22"/>
      <c r="I60" s="22"/>
      <c r="J60" s="22"/>
      <c r="K60" s="22"/>
      <c r="L60" s="22"/>
      <c r="M60" s="22"/>
      <c r="N60" s="22"/>
    </row>
  </sheetData>
  <mergeCells count="14">
    <mergeCell ref="C55:K55"/>
    <mergeCell ref="C57:K57"/>
    <mergeCell ref="C59:K59"/>
    <mergeCell ref="C51:D51"/>
    <mergeCell ref="A11:C11"/>
    <mergeCell ref="A12:C12"/>
    <mergeCell ref="A13:C13"/>
    <mergeCell ref="A14:C14"/>
    <mergeCell ref="A10:C10"/>
    <mergeCell ref="A1:N3"/>
    <mergeCell ref="A4:N4"/>
    <mergeCell ref="A8:C8"/>
    <mergeCell ref="A7:C7"/>
    <mergeCell ref="A6:C6"/>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249"/>
  <sheetViews>
    <sheetView topLeftCell="B1" workbookViewId="0">
      <selection activeCell="K42" sqref="K42"/>
    </sheetView>
  </sheetViews>
  <sheetFormatPr defaultRowHeight="14.25" x14ac:dyDescent="0.45"/>
  <cols>
    <col min="1" max="1" width="10.9296875" customWidth="1"/>
    <col min="2" max="2" width="13" customWidth="1"/>
    <col min="7" max="7" width="11.33203125" customWidth="1"/>
    <col min="8" max="8" width="11.73046875" bestFit="1" customWidth="1"/>
    <col min="10" max="10" width="9.19921875" customWidth="1"/>
  </cols>
  <sheetData>
    <row r="1" spans="1:12" x14ac:dyDescent="0.45">
      <c r="A1" t="s">
        <v>0</v>
      </c>
      <c r="B1" t="s">
        <v>1</v>
      </c>
      <c r="C1" t="s">
        <v>2</v>
      </c>
      <c r="D1" t="s">
        <v>3</v>
      </c>
      <c r="E1" t="s">
        <v>4</v>
      </c>
      <c r="F1" t="s">
        <v>5</v>
      </c>
      <c r="G1" t="s">
        <v>6</v>
      </c>
      <c r="H1" t="s">
        <v>7</v>
      </c>
      <c r="I1" t="s">
        <v>8</v>
      </c>
      <c r="J1" t="s">
        <v>9</v>
      </c>
    </row>
    <row r="2" spans="1:12" hidden="1" x14ac:dyDescent="0.45">
      <c r="A2">
        <v>1001</v>
      </c>
      <c r="B2" s="1">
        <v>45730</v>
      </c>
      <c r="C2" t="s">
        <v>10</v>
      </c>
      <c r="D2" t="s">
        <v>11</v>
      </c>
      <c r="E2" t="s">
        <v>12</v>
      </c>
      <c r="F2">
        <v>3</v>
      </c>
      <c r="G2" t="s">
        <v>13</v>
      </c>
      <c r="H2" s="15">
        <v>710</v>
      </c>
      <c r="I2" t="s">
        <v>14</v>
      </c>
      <c r="J2" t="s">
        <v>15</v>
      </c>
    </row>
    <row r="3" spans="1:12" hidden="1" x14ac:dyDescent="0.45">
      <c r="A3">
        <v>1002</v>
      </c>
      <c r="B3" s="1">
        <v>45746</v>
      </c>
      <c r="C3" t="s">
        <v>10</v>
      </c>
      <c r="D3" t="s">
        <v>16</v>
      </c>
      <c r="E3" t="s">
        <v>17</v>
      </c>
      <c r="F3">
        <v>5</v>
      </c>
      <c r="G3" t="s">
        <v>18</v>
      </c>
      <c r="H3" s="15">
        <v>4670</v>
      </c>
      <c r="I3" t="s">
        <v>19</v>
      </c>
      <c r="J3" t="s">
        <v>20</v>
      </c>
    </row>
    <row r="4" spans="1:12" x14ac:dyDescent="0.45">
      <c r="A4">
        <v>1003</v>
      </c>
      <c r="B4" s="1">
        <v>45752</v>
      </c>
      <c r="C4" t="s">
        <v>10</v>
      </c>
      <c r="D4" t="s">
        <v>21</v>
      </c>
      <c r="E4" t="s">
        <v>22</v>
      </c>
      <c r="F4">
        <v>1</v>
      </c>
      <c r="G4" t="s">
        <v>18</v>
      </c>
      <c r="H4" s="15">
        <v>960</v>
      </c>
      <c r="I4" t="s">
        <v>19</v>
      </c>
      <c r="J4" t="s">
        <v>23</v>
      </c>
    </row>
    <row r="5" spans="1:12" hidden="1" x14ac:dyDescent="0.45">
      <c r="A5">
        <v>1004</v>
      </c>
      <c r="B5" s="1">
        <v>45827</v>
      </c>
      <c r="C5" t="s">
        <v>10</v>
      </c>
      <c r="D5" t="s">
        <v>24</v>
      </c>
      <c r="E5" t="s">
        <v>25</v>
      </c>
      <c r="F5">
        <v>6</v>
      </c>
      <c r="G5" t="s">
        <v>26</v>
      </c>
      <c r="H5" s="15">
        <v>3640</v>
      </c>
      <c r="I5" t="s">
        <v>14</v>
      </c>
      <c r="J5" t="s">
        <v>15</v>
      </c>
    </row>
    <row r="6" spans="1:12" hidden="1" x14ac:dyDescent="0.45">
      <c r="A6">
        <v>1005</v>
      </c>
      <c r="B6" s="1">
        <v>45756</v>
      </c>
      <c r="C6" t="s">
        <v>10</v>
      </c>
      <c r="D6" t="s">
        <v>11</v>
      </c>
      <c r="E6" t="s">
        <v>27</v>
      </c>
      <c r="F6">
        <v>6</v>
      </c>
      <c r="G6" t="s">
        <v>26</v>
      </c>
      <c r="H6" s="15">
        <v>1590</v>
      </c>
      <c r="I6" t="s">
        <v>14</v>
      </c>
      <c r="J6" t="s">
        <v>23</v>
      </c>
    </row>
    <row r="7" spans="1:12" hidden="1" x14ac:dyDescent="0.45">
      <c r="A7">
        <v>1006</v>
      </c>
      <c r="B7" s="1">
        <v>45702</v>
      </c>
      <c r="C7" t="s">
        <v>28</v>
      </c>
      <c r="D7" t="s">
        <v>16</v>
      </c>
      <c r="E7" s="2" t="s">
        <v>131</v>
      </c>
      <c r="F7">
        <v>3</v>
      </c>
      <c r="G7" t="s">
        <v>18</v>
      </c>
      <c r="H7" s="15">
        <v>1990</v>
      </c>
      <c r="I7" t="s">
        <v>29</v>
      </c>
      <c r="J7" t="s">
        <v>15</v>
      </c>
    </row>
    <row r="8" spans="1:12" hidden="1" x14ac:dyDescent="0.45">
      <c r="A8">
        <v>1007</v>
      </c>
      <c r="B8" s="1">
        <v>45855</v>
      </c>
      <c r="C8" t="s">
        <v>30</v>
      </c>
      <c r="D8" t="s">
        <v>24</v>
      </c>
      <c r="E8" t="s">
        <v>31</v>
      </c>
      <c r="F8">
        <v>3</v>
      </c>
      <c r="G8" t="s">
        <v>13</v>
      </c>
      <c r="H8" s="15">
        <v>3010</v>
      </c>
      <c r="I8" t="s">
        <v>29</v>
      </c>
      <c r="J8" t="s">
        <v>23</v>
      </c>
    </row>
    <row r="9" spans="1:12" x14ac:dyDescent="0.45">
      <c r="A9">
        <v>1008</v>
      </c>
      <c r="B9" s="1">
        <v>45714</v>
      </c>
      <c r="C9" t="s">
        <v>28</v>
      </c>
      <c r="D9" t="s">
        <v>21</v>
      </c>
      <c r="E9" t="s">
        <v>32</v>
      </c>
      <c r="F9">
        <v>3</v>
      </c>
      <c r="G9" t="s">
        <v>13</v>
      </c>
      <c r="H9" s="15">
        <v>4460</v>
      </c>
      <c r="I9" t="s">
        <v>19</v>
      </c>
      <c r="J9" t="s">
        <v>20</v>
      </c>
    </row>
    <row r="10" spans="1:12" hidden="1" x14ac:dyDescent="0.45">
      <c r="A10">
        <v>1009</v>
      </c>
      <c r="B10" s="1">
        <v>45816</v>
      </c>
      <c r="C10" t="s">
        <v>10</v>
      </c>
      <c r="D10" t="s">
        <v>11</v>
      </c>
      <c r="E10" t="s">
        <v>33</v>
      </c>
      <c r="F10">
        <v>6</v>
      </c>
      <c r="G10" t="s">
        <v>13</v>
      </c>
      <c r="H10" s="15">
        <v>4640</v>
      </c>
      <c r="I10" t="s">
        <v>19</v>
      </c>
      <c r="J10" t="s">
        <v>20</v>
      </c>
    </row>
    <row r="11" spans="1:12" x14ac:dyDescent="0.45">
      <c r="A11">
        <v>1010</v>
      </c>
      <c r="B11" s="1">
        <v>45753</v>
      </c>
      <c r="C11" t="s">
        <v>30</v>
      </c>
      <c r="D11" t="s">
        <v>21</v>
      </c>
      <c r="E11" t="s">
        <v>34</v>
      </c>
      <c r="F11">
        <v>5</v>
      </c>
      <c r="G11" t="s">
        <v>26</v>
      </c>
      <c r="H11" s="15">
        <v>3210</v>
      </c>
      <c r="I11" t="s">
        <v>19</v>
      </c>
      <c r="J11" t="s">
        <v>23</v>
      </c>
    </row>
    <row r="12" spans="1:12" x14ac:dyDescent="0.45">
      <c r="A12">
        <v>1011</v>
      </c>
      <c r="B12" s="1">
        <v>45769</v>
      </c>
      <c r="C12" t="s">
        <v>35</v>
      </c>
      <c r="D12" t="s">
        <v>21</v>
      </c>
      <c r="E12" t="s">
        <v>31</v>
      </c>
      <c r="F12">
        <v>6</v>
      </c>
      <c r="G12" t="s">
        <v>13</v>
      </c>
      <c r="H12" s="16" t="s">
        <v>131</v>
      </c>
      <c r="I12" t="s">
        <v>29</v>
      </c>
      <c r="J12" t="s">
        <v>15</v>
      </c>
    </row>
    <row r="13" spans="1:12" hidden="1" x14ac:dyDescent="0.45">
      <c r="A13">
        <v>1012</v>
      </c>
      <c r="B13" s="1">
        <v>45824</v>
      </c>
      <c r="C13" t="s">
        <v>28</v>
      </c>
      <c r="D13" t="s">
        <v>16</v>
      </c>
      <c r="E13" t="s">
        <v>32</v>
      </c>
      <c r="F13">
        <v>3</v>
      </c>
      <c r="G13" t="s">
        <v>18</v>
      </c>
      <c r="H13" s="15">
        <v>1240</v>
      </c>
      <c r="I13" t="s">
        <v>19</v>
      </c>
      <c r="J13" t="s">
        <v>20</v>
      </c>
    </row>
    <row r="14" spans="1:12" hidden="1" x14ac:dyDescent="0.45">
      <c r="A14">
        <v>1013</v>
      </c>
      <c r="B14" s="1">
        <v>45804</v>
      </c>
      <c r="C14" t="s">
        <v>30</v>
      </c>
      <c r="D14" t="s">
        <v>24</v>
      </c>
      <c r="E14" t="s">
        <v>36</v>
      </c>
      <c r="F14">
        <v>7</v>
      </c>
      <c r="G14" t="s">
        <v>26</v>
      </c>
      <c r="H14" s="15">
        <v>3850</v>
      </c>
      <c r="I14" t="s">
        <v>14</v>
      </c>
      <c r="J14" t="s">
        <v>15</v>
      </c>
      <c r="L14" s="2"/>
    </row>
    <row r="15" spans="1:12" hidden="1" x14ac:dyDescent="0.45">
      <c r="A15">
        <v>1014</v>
      </c>
      <c r="B15" s="1">
        <v>45818</v>
      </c>
      <c r="C15" t="s">
        <v>28</v>
      </c>
      <c r="D15" t="s">
        <v>16</v>
      </c>
      <c r="E15" t="s">
        <v>37</v>
      </c>
      <c r="F15">
        <v>2</v>
      </c>
      <c r="G15" t="s">
        <v>13</v>
      </c>
      <c r="H15" s="15">
        <v>2240</v>
      </c>
      <c r="I15" t="s">
        <v>29</v>
      </c>
      <c r="J15" t="s">
        <v>15</v>
      </c>
    </row>
    <row r="16" spans="1:12" x14ac:dyDescent="0.45">
      <c r="A16">
        <v>1015</v>
      </c>
      <c r="B16" s="1">
        <v>45842</v>
      </c>
      <c r="C16" t="s">
        <v>30</v>
      </c>
      <c r="D16" t="s">
        <v>21</v>
      </c>
      <c r="E16" t="s">
        <v>38</v>
      </c>
      <c r="F16">
        <v>1</v>
      </c>
      <c r="G16" t="s">
        <v>13</v>
      </c>
      <c r="H16" s="15">
        <v>1010</v>
      </c>
      <c r="I16" t="s">
        <v>14</v>
      </c>
      <c r="J16" t="s">
        <v>20</v>
      </c>
    </row>
    <row r="17" spans="1:10" hidden="1" x14ac:dyDescent="0.45">
      <c r="A17">
        <v>1016</v>
      </c>
      <c r="B17" s="1">
        <v>45754</v>
      </c>
      <c r="C17" t="s">
        <v>28</v>
      </c>
      <c r="D17" t="s">
        <v>11</v>
      </c>
      <c r="E17" t="s">
        <v>39</v>
      </c>
      <c r="F17">
        <v>3</v>
      </c>
      <c r="G17" t="s">
        <v>13</v>
      </c>
      <c r="H17" s="15">
        <v>3670</v>
      </c>
      <c r="I17" t="s">
        <v>29</v>
      </c>
      <c r="J17" t="s">
        <v>20</v>
      </c>
    </row>
    <row r="18" spans="1:10" hidden="1" x14ac:dyDescent="0.45">
      <c r="A18">
        <v>1017</v>
      </c>
      <c r="B18" s="1">
        <v>45698</v>
      </c>
      <c r="C18" t="s">
        <v>10</v>
      </c>
      <c r="D18" t="s">
        <v>11</v>
      </c>
      <c r="E18" t="s">
        <v>40</v>
      </c>
      <c r="F18">
        <v>7</v>
      </c>
      <c r="G18" t="s">
        <v>26</v>
      </c>
      <c r="H18" s="15">
        <v>1350</v>
      </c>
      <c r="I18" t="s">
        <v>14</v>
      </c>
      <c r="J18" t="s">
        <v>15</v>
      </c>
    </row>
    <row r="19" spans="1:10" hidden="1" x14ac:dyDescent="0.45">
      <c r="A19">
        <v>1018</v>
      </c>
      <c r="B19" s="1">
        <v>45827</v>
      </c>
      <c r="C19" t="s">
        <v>30</v>
      </c>
      <c r="D19" t="s">
        <v>11</v>
      </c>
      <c r="E19" t="s">
        <v>41</v>
      </c>
      <c r="F19">
        <v>4</v>
      </c>
      <c r="G19" t="s">
        <v>18</v>
      </c>
      <c r="H19" s="15">
        <v>4340</v>
      </c>
      <c r="I19" t="s">
        <v>14</v>
      </c>
      <c r="J19" t="s">
        <v>23</v>
      </c>
    </row>
    <row r="20" spans="1:10" hidden="1" x14ac:dyDescent="0.45">
      <c r="A20">
        <v>1019</v>
      </c>
      <c r="B20" s="1">
        <v>45685</v>
      </c>
      <c r="C20" t="s">
        <v>10</v>
      </c>
      <c r="D20" t="s">
        <v>16</v>
      </c>
      <c r="E20" t="s">
        <v>42</v>
      </c>
      <c r="F20">
        <v>4</v>
      </c>
      <c r="G20" t="s">
        <v>13</v>
      </c>
      <c r="H20" s="15">
        <v>910</v>
      </c>
      <c r="I20" t="s">
        <v>29</v>
      </c>
      <c r="J20" t="s">
        <v>15</v>
      </c>
    </row>
    <row r="21" spans="1:10" x14ac:dyDescent="0.45">
      <c r="A21">
        <v>1020</v>
      </c>
      <c r="B21" s="1">
        <v>45845</v>
      </c>
      <c r="C21" t="s">
        <v>28</v>
      </c>
      <c r="D21" t="s">
        <v>21</v>
      </c>
      <c r="E21" t="s">
        <v>43</v>
      </c>
      <c r="F21">
        <v>7</v>
      </c>
      <c r="G21" t="s">
        <v>18</v>
      </c>
      <c r="H21" s="15">
        <v>4950</v>
      </c>
      <c r="I21" t="s">
        <v>29</v>
      </c>
      <c r="J21" t="s">
        <v>23</v>
      </c>
    </row>
    <row r="22" spans="1:10" hidden="1" x14ac:dyDescent="0.45">
      <c r="A22">
        <v>1022</v>
      </c>
      <c r="B22" s="1">
        <v>45808</v>
      </c>
      <c r="C22" t="s">
        <v>30</v>
      </c>
      <c r="D22" t="s">
        <v>11</v>
      </c>
      <c r="E22" t="s">
        <v>44</v>
      </c>
      <c r="F22">
        <v>1</v>
      </c>
      <c r="G22" t="s">
        <v>13</v>
      </c>
      <c r="H22" s="15">
        <v>1270</v>
      </c>
      <c r="I22" t="s">
        <v>14</v>
      </c>
      <c r="J22" t="s">
        <v>23</v>
      </c>
    </row>
    <row r="23" spans="1:10" hidden="1" x14ac:dyDescent="0.45">
      <c r="A23">
        <v>1023</v>
      </c>
      <c r="B23" s="1">
        <v>45691</v>
      </c>
      <c r="C23" t="s">
        <v>28</v>
      </c>
      <c r="D23" t="s">
        <v>16</v>
      </c>
      <c r="E23" t="s">
        <v>45</v>
      </c>
      <c r="F23">
        <v>4</v>
      </c>
      <c r="G23" t="s">
        <v>18</v>
      </c>
      <c r="H23" s="15">
        <v>1740</v>
      </c>
      <c r="I23" t="s">
        <v>19</v>
      </c>
      <c r="J23" t="s">
        <v>20</v>
      </c>
    </row>
    <row r="24" spans="1:10" x14ac:dyDescent="0.45">
      <c r="A24">
        <v>1024</v>
      </c>
      <c r="B24" s="1">
        <v>45670</v>
      </c>
      <c r="C24" t="s">
        <v>28</v>
      </c>
      <c r="D24" t="s">
        <v>21</v>
      </c>
      <c r="E24" t="s">
        <v>46</v>
      </c>
      <c r="F24">
        <v>3</v>
      </c>
      <c r="G24" t="s">
        <v>13</v>
      </c>
      <c r="H24" s="15">
        <v>3000</v>
      </c>
      <c r="I24" t="s">
        <v>14</v>
      </c>
      <c r="J24" t="s">
        <v>20</v>
      </c>
    </row>
    <row r="25" spans="1:10" hidden="1" x14ac:dyDescent="0.45">
      <c r="A25">
        <v>1025</v>
      </c>
      <c r="B25" s="1">
        <v>45807</v>
      </c>
      <c r="C25" t="s">
        <v>10</v>
      </c>
      <c r="D25" t="s">
        <v>16</v>
      </c>
      <c r="E25" t="s">
        <v>47</v>
      </c>
      <c r="F25">
        <v>7</v>
      </c>
      <c r="G25" t="s">
        <v>13</v>
      </c>
      <c r="H25" s="15">
        <v>1390</v>
      </c>
      <c r="I25" t="s">
        <v>14</v>
      </c>
      <c r="J25" t="s">
        <v>23</v>
      </c>
    </row>
    <row r="26" spans="1:10" hidden="1" x14ac:dyDescent="0.45">
      <c r="A26">
        <v>1026</v>
      </c>
      <c r="B26" s="1">
        <v>45735</v>
      </c>
      <c r="C26" t="s">
        <v>30</v>
      </c>
      <c r="D26" t="s">
        <v>16</v>
      </c>
      <c r="E26" t="s">
        <v>48</v>
      </c>
      <c r="F26">
        <v>7</v>
      </c>
      <c r="G26" t="s">
        <v>18</v>
      </c>
      <c r="H26" s="15">
        <v>4290</v>
      </c>
      <c r="I26" t="s">
        <v>19</v>
      </c>
      <c r="J26" t="s">
        <v>15</v>
      </c>
    </row>
    <row r="27" spans="1:10" hidden="1" x14ac:dyDescent="0.45">
      <c r="A27">
        <v>1027</v>
      </c>
      <c r="B27" s="1">
        <v>45714</v>
      </c>
      <c r="C27" t="s">
        <v>10</v>
      </c>
      <c r="D27" t="s">
        <v>16</v>
      </c>
      <c r="E27" t="s">
        <v>49</v>
      </c>
      <c r="F27">
        <v>1</v>
      </c>
      <c r="G27" t="s">
        <v>13</v>
      </c>
      <c r="H27" s="15">
        <v>2120</v>
      </c>
      <c r="I27" t="s">
        <v>29</v>
      </c>
      <c r="J27" t="s">
        <v>15</v>
      </c>
    </row>
    <row r="28" spans="1:10" hidden="1" x14ac:dyDescent="0.45">
      <c r="A28">
        <v>1028</v>
      </c>
      <c r="B28" s="1">
        <v>45778</v>
      </c>
      <c r="C28" t="s">
        <v>10</v>
      </c>
      <c r="D28" t="s">
        <v>16</v>
      </c>
      <c r="E28" t="s">
        <v>50</v>
      </c>
      <c r="F28">
        <v>6</v>
      </c>
      <c r="G28" t="s">
        <v>13</v>
      </c>
      <c r="H28" s="15">
        <v>4890</v>
      </c>
      <c r="I28" t="s">
        <v>14</v>
      </c>
      <c r="J28" t="s">
        <v>20</v>
      </c>
    </row>
    <row r="29" spans="1:10" hidden="1" x14ac:dyDescent="0.45">
      <c r="A29">
        <v>1029</v>
      </c>
      <c r="B29" s="1">
        <v>45753</v>
      </c>
      <c r="C29" t="s">
        <v>28</v>
      </c>
      <c r="D29" t="s">
        <v>11</v>
      </c>
      <c r="E29" t="s">
        <v>51</v>
      </c>
      <c r="F29">
        <v>6</v>
      </c>
      <c r="G29" t="s">
        <v>18</v>
      </c>
      <c r="H29" s="15">
        <v>2010</v>
      </c>
      <c r="I29" t="s">
        <v>14</v>
      </c>
      <c r="J29" t="s">
        <v>15</v>
      </c>
    </row>
    <row r="30" spans="1:10" hidden="1" x14ac:dyDescent="0.45">
      <c r="A30">
        <v>1030</v>
      </c>
      <c r="B30" s="1">
        <v>45699</v>
      </c>
      <c r="C30" t="s">
        <v>35</v>
      </c>
      <c r="D30" t="s">
        <v>11</v>
      </c>
      <c r="E30" t="s">
        <v>52</v>
      </c>
      <c r="F30">
        <v>6</v>
      </c>
      <c r="G30" t="s">
        <v>18</v>
      </c>
      <c r="H30" s="15">
        <v>2350</v>
      </c>
      <c r="I30" t="s">
        <v>14</v>
      </c>
      <c r="J30" t="s">
        <v>15</v>
      </c>
    </row>
    <row r="31" spans="1:10" x14ac:dyDescent="0.45">
      <c r="A31">
        <v>1031</v>
      </c>
      <c r="B31" s="1">
        <v>45684</v>
      </c>
      <c r="C31" t="s">
        <v>10</v>
      </c>
      <c r="D31" t="s">
        <v>21</v>
      </c>
      <c r="E31" t="s">
        <v>53</v>
      </c>
      <c r="F31">
        <v>7</v>
      </c>
      <c r="G31" t="s">
        <v>13</v>
      </c>
      <c r="H31" s="15">
        <v>2750</v>
      </c>
      <c r="I31" t="s">
        <v>29</v>
      </c>
      <c r="J31" t="s">
        <v>15</v>
      </c>
    </row>
    <row r="32" spans="1:10" hidden="1" x14ac:dyDescent="0.45">
      <c r="A32">
        <v>1032</v>
      </c>
      <c r="B32" s="1">
        <v>45685</v>
      </c>
      <c r="C32" t="s">
        <v>35</v>
      </c>
      <c r="D32" t="s">
        <v>24</v>
      </c>
      <c r="E32" t="s">
        <v>52</v>
      </c>
      <c r="F32">
        <v>7</v>
      </c>
      <c r="G32" t="s">
        <v>13</v>
      </c>
      <c r="H32" s="15">
        <v>900</v>
      </c>
      <c r="I32" t="s">
        <v>14</v>
      </c>
      <c r="J32" t="s">
        <v>15</v>
      </c>
    </row>
    <row r="33" spans="1:10" x14ac:dyDescent="0.45">
      <c r="A33">
        <v>1033</v>
      </c>
      <c r="B33" s="1">
        <v>45741</v>
      </c>
      <c r="C33" t="s">
        <v>35</v>
      </c>
      <c r="D33" t="s">
        <v>21</v>
      </c>
      <c r="E33" t="s">
        <v>54</v>
      </c>
      <c r="F33">
        <v>4</v>
      </c>
      <c r="G33" t="s">
        <v>26</v>
      </c>
      <c r="H33" s="15">
        <v>1180</v>
      </c>
      <c r="I33" t="s">
        <v>19</v>
      </c>
      <c r="J33" t="s">
        <v>23</v>
      </c>
    </row>
    <row r="34" spans="1:10" hidden="1" x14ac:dyDescent="0.45">
      <c r="A34">
        <v>1034</v>
      </c>
      <c r="B34" s="1">
        <v>45740</v>
      </c>
      <c r="C34" t="s">
        <v>30</v>
      </c>
      <c r="D34" t="s">
        <v>16</v>
      </c>
      <c r="E34" t="s">
        <v>55</v>
      </c>
      <c r="F34">
        <v>5</v>
      </c>
      <c r="G34" t="s">
        <v>26</v>
      </c>
      <c r="H34" s="15">
        <v>2920</v>
      </c>
      <c r="I34" t="s">
        <v>14</v>
      </c>
      <c r="J34" t="s">
        <v>23</v>
      </c>
    </row>
    <row r="35" spans="1:10" hidden="1" x14ac:dyDescent="0.45">
      <c r="A35">
        <v>1035</v>
      </c>
      <c r="B35" s="1">
        <v>45692</v>
      </c>
      <c r="C35" t="s">
        <v>28</v>
      </c>
      <c r="D35" t="s">
        <v>11</v>
      </c>
      <c r="E35" t="s">
        <v>56</v>
      </c>
      <c r="F35">
        <v>7</v>
      </c>
      <c r="G35" t="s">
        <v>26</v>
      </c>
      <c r="H35" s="15">
        <v>2780</v>
      </c>
      <c r="I35" t="s">
        <v>29</v>
      </c>
      <c r="J35" t="s">
        <v>23</v>
      </c>
    </row>
    <row r="36" spans="1:10" hidden="1" x14ac:dyDescent="0.45">
      <c r="A36">
        <v>1036</v>
      </c>
      <c r="B36" s="1">
        <v>45803</v>
      </c>
      <c r="C36" t="s">
        <v>10</v>
      </c>
      <c r="D36" t="s">
        <v>16</v>
      </c>
      <c r="E36" t="s">
        <v>54</v>
      </c>
      <c r="F36">
        <v>1</v>
      </c>
      <c r="G36" t="s">
        <v>18</v>
      </c>
      <c r="H36" s="15">
        <v>1200</v>
      </c>
      <c r="I36" t="s">
        <v>14</v>
      </c>
      <c r="J36" t="s">
        <v>15</v>
      </c>
    </row>
    <row r="37" spans="1:10" hidden="1" x14ac:dyDescent="0.45">
      <c r="A37">
        <v>1037</v>
      </c>
      <c r="B37" s="1">
        <v>45798</v>
      </c>
      <c r="C37" t="s">
        <v>10</v>
      </c>
      <c r="D37" t="s">
        <v>11</v>
      </c>
      <c r="E37" t="s">
        <v>57</v>
      </c>
      <c r="F37">
        <v>5</v>
      </c>
      <c r="G37" t="s">
        <v>13</v>
      </c>
      <c r="H37" s="15">
        <v>3990</v>
      </c>
      <c r="I37" t="s">
        <v>19</v>
      </c>
      <c r="J37" t="s">
        <v>23</v>
      </c>
    </row>
    <row r="38" spans="1:10" x14ac:dyDescent="0.45">
      <c r="A38">
        <v>1038</v>
      </c>
      <c r="B38" s="1">
        <v>45668</v>
      </c>
      <c r="C38" t="s">
        <v>35</v>
      </c>
      <c r="D38" t="s">
        <v>21</v>
      </c>
      <c r="E38" t="s">
        <v>58</v>
      </c>
      <c r="F38">
        <v>5</v>
      </c>
      <c r="G38" t="s">
        <v>18</v>
      </c>
      <c r="H38" s="15">
        <v>1650</v>
      </c>
      <c r="I38" t="s">
        <v>29</v>
      </c>
      <c r="J38" t="s">
        <v>23</v>
      </c>
    </row>
    <row r="39" spans="1:10" x14ac:dyDescent="0.45">
      <c r="A39">
        <v>1039</v>
      </c>
      <c r="B39" s="1">
        <v>45831</v>
      </c>
      <c r="C39" t="s">
        <v>30</v>
      </c>
      <c r="D39" t="s">
        <v>21</v>
      </c>
      <c r="E39" t="s">
        <v>59</v>
      </c>
      <c r="F39">
        <v>2</v>
      </c>
      <c r="G39" t="s">
        <v>26</v>
      </c>
      <c r="H39" s="15">
        <v>2110</v>
      </c>
      <c r="I39" t="s">
        <v>14</v>
      </c>
      <c r="J39" t="s">
        <v>23</v>
      </c>
    </row>
    <row r="40" spans="1:10" hidden="1" x14ac:dyDescent="0.45">
      <c r="A40">
        <v>1040</v>
      </c>
      <c r="B40" s="1">
        <v>45773</v>
      </c>
      <c r="C40" t="s">
        <v>10</v>
      </c>
      <c r="D40" t="s">
        <v>11</v>
      </c>
      <c r="E40" t="s">
        <v>60</v>
      </c>
      <c r="F40">
        <v>2</v>
      </c>
      <c r="G40" t="s">
        <v>26</v>
      </c>
      <c r="H40" s="15">
        <v>2970</v>
      </c>
      <c r="I40" t="s">
        <v>29</v>
      </c>
      <c r="J40" t="s">
        <v>15</v>
      </c>
    </row>
    <row r="41" spans="1:10" hidden="1" x14ac:dyDescent="0.45">
      <c r="A41">
        <v>1042</v>
      </c>
      <c r="B41" s="1">
        <v>45707</v>
      </c>
      <c r="C41" t="s">
        <v>30</v>
      </c>
      <c r="D41" t="s">
        <v>24</v>
      </c>
      <c r="E41" t="s">
        <v>62</v>
      </c>
      <c r="F41">
        <v>2</v>
      </c>
      <c r="G41" t="s">
        <v>26</v>
      </c>
      <c r="H41" s="15">
        <v>2950</v>
      </c>
      <c r="I41" t="s">
        <v>14</v>
      </c>
      <c r="J41" t="s">
        <v>23</v>
      </c>
    </row>
    <row r="42" spans="1:10" x14ac:dyDescent="0.45">
      <c r="A42">
        <v>1043</v>
      </c>
      <c r="B42" s="1">
        <v>45817</v>
      </c>
      <c r="C42" t="s">
        <v>10</v>
      </c>
      <c r="D42" t="s">
        <v>21</v>
      </c>
      <c r="E42" t="s">
        <v>63</v>
      </c>
      <c r="F42">
        <v>5</v>
      </c>
      <c r="G42" t="s">
        <v>13</v>
      </c>
      <c r="H42" s="15">
        <v>2570</v>
      </c>
      <c r="I42" t="s">
        <v>14</v>
      </c>
      <c r="J42" t="s">
        <v>15</v>
      </c>
    </row>
    <row r="43" spans="1:10" hidden="1" x14ac:dyDescent="0.45">
      <c r="A43">
        <v>1044</v>
      </c>
      <c r="B43" s="1">
        <v>45857</v>
      </c>
      <c r="C43" t="s">
        <v>28</v>
      </c>
      <c r="D43" t="s">
        <v>16</v>
      </c>
      <c r="E43" t="s">
        <v>53</v>
      </c>
      <c r="F43">
        <v>6</v>
      </c>
      <c r="G43" t="s">
        <v>13</v>
      </c>
      <c r="H43" s="15">
        <v>3540</v>
      </c>
      <c r="I43" t="s">
        <v>14</v>
      </c>
      <c r="J43" t="s">
        <v>20</v>
      </c>
    </row>
    <row r="44" spans="1:10" hidden="1" x14ac:dyDescent="0.45">
      <c r="A44">
        <v>1045</v>
      </c>
      <c r="B44" s="1">
        <v>45775</v>
      </c>
      <c r="C44" t="s">
        <v>10</v>
      </c>
      <c r="D44" t="s">
        <v>24</v>
      </c>
      <c r="E44" t="s">
        <v>64</v>
      </c>
      <c r="F44">
        <v>4</v>
      </c>
      <c r="G44" t="s">
        <v>13</v>
      </c>
      <c r="H44" s="15">
        <v>1740</v>
      </c>
      <c r="I44" t="s">
        <v>14</v>
      </c>
      <c r="J44" t="s">
        <v>15</v>
      </c>
    </row>
    <row r="45" spans="1:10" hidden="1" x14ac:dyDescent="0.45">
      <c r="A45">
        <v>1046</v>
      </c>
      <c r="B45" s="1">
        <v>45791</v>
      </c>
      <c r="C45" t="s">
        <v>10</v>
      </c>
      <c r="D45" t="s">
        <v>16</v>
      </c>
      <c r="E45" t="s">
        <v>65</v>
      </c>
      <c r="F45">
        <v>2</v>
      </c>
      <c r="G45" t="s">
        <v>18</v>
      </c>
      <c r="H45" s="15">
        <v>1580</v>
      </c>
      <c r="I45" t="s">
        <v>29</v>
      </c>
      <c r="J45" t="s">
        <v>20</v>
      </c>
    </row>
    <row r="46" spans="1:10" x14ac:dyDescent="0.45">
      <c r="A46">
        <v>1047</v>
      </c>
      <c r="B46" s="1">
        <v>45777</v>
      </c>
      <c r="C46" t="s">
        <v>35</v>
      </c>
      <c r="D46" t="s">
        <v>21</v>
      </c>
      <c r="E46" t="s">
        <v>37</v>
      </c>
      <c r="F46">
        <v>6</v>
      </c>
      <c r="G46" t="s">
        <v>13</v>
      </c>
      <c r="H46" s="15">
        <v>4770</v>
      </c>
      <c r="I46" t="s">
        <v>29</v>
      </c>
      <c r="J46" t="s">
        <v>23</v>
      </c>
    </row>
    <row r="47" spans="1:10" x14ac:dyDescent="0.45">
      <c r="A47">
        <v>1048</v>
      </c>
      <c r="B47" s="1">
        <v>45828</v>
      </c>
      <c r="C47" t="s">
        <v>28</v>
      </c>
      <c r="D47" t="s">
        <v>21</v>
      </c>
      <c r="E47" t="s">
        <v>50</v>
      </c>
      <c r="F47">
        <v>4</v>
      </c>
      <c r="G47" t="s">
        <v>26</v>
      </c>
      <c r="H47" s="15">
        <v>1910</v>
      </c>
      <c r="I47" t="s">
        <v>19</v>
      </c>
      <c r="J47" t="s">
        <v>23</v>
      </c>
    </row>
    <row r="48" spans="1:10" hidden="1" x14ac:dyDescent="0.45">
      <c r="A48">
        <v>1049</v>
      </c>
      <c r="B48" s="1">
        <v>45674</v>
      </c>
      <c r="C48" t="s">
        <v>10</v>
      </c>
      <c r="D48" t="s">
        <v>24</v>
      </c>
      <c r="E48" t="s">
        <v>66</v>
      </c>
      <c r="F48">
        <v>2</v>
      </c>
      <c r="G48" t="s">
        <v>13</v>
      </c>
      <c r="H48" s="15">
        <v>3700</v>
      </c>
      <c r="I48" t="s">
        <v>14</v>
      </c>
      <c r="J48" t="s">
        <v>23</v>
      </c>
    </row>
    <row r="49" spans="1:10" hidden="1" x14ac:dyDescent="0.45">
      <c r="A49">
        <v>1050</v>
      </c>
      <c r="B49" s="1">
        <v>45659</v>
      </c>
      <c r="C49" t="s">
        <v>30</v>
      </c>
      <c r="D49" t="s">
        <v>24</v>
      </c>
      <c r="E49" t="s">
        <v>67</v>
      </c>
      <c r="F49">
        <v>3</v>
      </c>
      <c r="G49" t="s">
        <v>26</v>
      </c>
      <c r="H49" s="15">
        <v>1920</v>
      </c>
      <c r="I49" t="s">
        <v>29</v>
      </c>
      <c r="J49" t="s">
        <v>23</v>
      </c>
    </row>
    <row r="50" spans="1:10" x14ac:dyDescent="0.45">
      <c r="A50">
        <v>1051</v>
      </c>
      <c r="B50" s="1">
        <v>45731</v>
      </c>
      <c r="C50" t="s">
        <v>35</v>
      </c>
      <c r="D50" t="s">
        <v>21</v>
      </c>
      <c r="E50" t="s">
        <v>68</v>
      </c>
      <c r="F50">
        <v>5</v>
      </c>
      <c r="G50" t="s">
        <v>26</v>
      </c>
      <c r="H50" s="15">
        <v>2600</v>
      </c>
      <c r="I50" t="s">
        <v>29</v>
      </c>
      <c r="J50" t="s">
        <v>15</v>
      </c>
    </row>
    <row r="51" spans="1:10" hidden="1" x14ac:dyDescent="0.45">
      <c r="A51">
        <v>1052</v>
      </c>
      <c r="B51" s="1">
        <v>45846</v>
      </c>
      <c r="C51" t="s">
        <v>28</v>
      </c>
      <c r="D51" t="s">
        <v>11</v>
      </c>
      <c r="E51" t="s">
        <v>66</v>
      </c>
      <c r="F51">
        <v>7</v>
      </c>
      <c r="G51" t="s">
        <v>13</v>
      </c>
      <c r="H51" s="15">
        <v>3640</v>
      </c>
      <c r="I51" t="s">
        <v>29</v>
      </c>
      <c r="J51" t="s">
        <v>15</v>
      </c>
    </row>
    <row r="52" spans="1:10" hidden="1" x14ac:dyDescent="0.45">
      <c r="A52">
        <v>1053</v>
      </c>
      <c r="B52" s="1">
        <v>45749</v>
      </c>
      <c r="C52" t="s">
        <v>35</v>
      </c>
      <c r="D52" t="s">
        <v>24</v>
      </c>
      <c r="E52" t="s">
        <v>12</v>
      </c>
      <c r="F52">
        <v>1</v>
      </c>
      <c r="G52" t="s">
        <v>26</v>
      </c>
      <c r="H52" s="15">
        <v>3870</v>
      </c>
      <c r="I52" t="s">
        <v>19</v>
      </c>
      <c r="J52" t="s">
        <v>15</v>
      </c>
    </row>
    <row r="53" spans="1:10" hidden="1" x14ac:dyDescent="0.45">
      <c r="A53">
        <v>1054</v>
      </c>
      <c r="B53" s="1">
        <v>45825</v>
      </c>
      <c r="C53" t="s">
        <v>10</v>
      </c>
      <c r="D53" t="s">
        <v>16</v>
      </c>
      <c r="E53" t="s">
        <v>48</v>
      </c>
      <c r="F53">
        <v>3</v>
      </c>
      <c r="G53" t="s">
        <v>26</v>
      </c>
      <c r="H53" s="15">
        <v>560</v>
      </c>
      <c r="I53" t="s">
        <v>14</v>
      </c>
      <c r="J53" t="s">
        <v>15</v>
      </c>
    </row>
    <row r="54" spans="1:10" hidden="1" x14ac:dyDescent="0.45">
      <c r="A54">
        <v>1055</v>
      </c>
      <c r="B54" s="1">
        <v>45729</v>
      </c>
      <c r="C54" t="s">
        <v>10</v>
      </c>
      <c r="D54" t="s">
        <v>11</v>
      </c>
      <c r="E54" t="s">
        <v>69</v>
      </c>
      <c r="F54">
        <v>7</v>
      </c>
      <c r="G54" t="s">
        <v>26</v>
      </c>
      <c r="H54" s="15">
        <v>2280</v>
      </c>
      <c r="I54" t="s">
        <v>29</v>
      </c>
      <c r="J54" t="s">
        <v>20</v>
      </c>
    </row>
    <row r="55" spans="1:10" hidden="1" x14ac:dyDescent="0.45">
      <c r="A55">
        <v>1056</v>
      </c>
      <c r="B55" s="1">
        <v>45662</v>
      </c>
      <c r="C55" t="s">
        <v>10</v>
      </c>
      <c r="D55" t="s">
        <v>16</v>
      </c>
      <c r="E55" t="s">
        <v>66</v>
      </c>
      <c r="F55">
        <v>6</v>
      </c>
      <c r="G55" t="s">
        <v>18</v>
      </c>
      <c r="H55" s="15">
        <v>1060</v>
      </c>
      <c r="I55" t="s">
        <v>14</v>
      </c>
      <c r="J55" t="s">
        <v>20</v>
      </c>
    </row>
    <row r="56" spans="1:10" hidden="1" x14ac:dyDescent="0.45">
      <c r="A56">
        <v>1057</v>
      </c>
      <c r="B56" s="1">
        <v>45670</v>
      </c>
      <c r="C56" t="s">
        <v>30</v>
      </c>
      <c r="D56" t="s">
        <v>24</v>
      </c>
      <c r="E56" t="s">
        <v>70</v>
      </c>
      <c r="F56">
        <v>6</v>
      </c>
      <c r="G56" t="s">
        <v>26</v>
      </c>
      <c r="H56" s="15">
        <v>2680</v>
      </c>
      <c r="I56" t="s">
        <v>29</v>
      </c>
      <c r="J56" t="s">
        <v>15</v>
      </c>
    </row>
    <row r="57" spans="1:10" hidden="1" x14ac:dyDescent="0.45">
      <c r="A57">
        <v>1058</v>
      </c>
      <c r="B57" s="1">
        <v>45668</v>
      </c>
      <c r="C57" t="s">
        <v>35</v>
      </c>
      <c r="D57" t="s">
        <v>11</v>
      </c>
      <c r="E57" t="s">
        <v>71</v>
      </c>
      <c r="F57">
        <v>4</v>
      </c>
      <c r="G57" t="s">
        <v>26</v>
      </c>
      <c r="H57" s="15">
        <v>2260</v>
      </c>
      <c r="I57" t="s">
        <v>14</v>
      </c>
      <c r="J57" t="s">
        <v>23</v>
      </c>
    </row>
    <row r="58" spans="1:10" hidden="1" x14ac:dyDescent="0.45">
      <c r="A58">
        <v>1059</v>
      </c>
      <c r="B58" s="1">
        <v>45830</v>
      </c>
      <c r="C58" t="s">
        <v>10</v>
      </c>
      <c r="D58" t="s">
        <v>24</v>
      </c>
      <c r="E58" t="s">
        <v>72</v>
      </c>
      <c r="F58">
        <v>2</v>
      </c>
      <c r="G58" t="s">
        <v>18</v>
      </c>
      <c r="H58" s="15">
        <v>1370</v>
      </c>
      <c r="I58" t="s">
        <v>19</v>
      </c>
      <c r="J58" t="s">
        <v>20</v>
      </c>
    </row>
    <row r="59" spans="1:10" hidden="1" x14ac:dyDescent="0.45">
      <c r="A59">
        <v>1060</v>
      </c>
      <c r="B59" s="1">
        <v>45701</v>
      </c>
      <c r="C59" t="s">
        <v>10</v>
      </c>
      <c r="D59" t="s">
        <v>11</v>
      </c>
      <c r="E59" t="s">
        <v>73</v>
      </c>
      <c r="F59">
        <v>6</v>
      </c>
      <c r="G59" t="s">
        <v>26</v>
      </c>
      <c r="H59" s="15">
        <v>920</v>
      </c>
      <c r="I59" t="s">
        <v>29</v>
      </c>
      <c r="J59" t="s">
        <v>23</v>
      </c>
    </row>
    <row r="60" spans="1:10" hidden="1" x14ac:dyDescent="0.45">
      <c r="A60">
        <v>1061</v>
      </c>
      <c r="B60" s="1">
        <v>45757</v>
      </c>
      <c r="C60" t="s">
        <v>30</v>
      </c>
      <c r="D60" t="s">
        <v>11</v>
      </c>
      <c r="E60" t="s">
        <v>74</v>
      </c>
      <c r="F60">
        <v>2</v>
      </c>
      <c r="G60" t="s">
        <v>18</v>
      </c>
      <c r="H60" s="15">
        <v>3750</v>
      </c>
      <c r="I60" t="s">
        <v>29</v>
      </c>
      <c r="J60" t="s">
        <v>20</v>
      </c>
    </row>
    <row r="61" spans="1:10" hidden="1" x14ac:dyDescent="0.45">
      <c r="A61">
        <v>1062</v>
      </c>
      <c r="B61" s="1">
        <v>45675</v>
      </c>
      <c r="C61" t="s">
        <v>30</v>
      </c>
      <c r="D61" t="s">
        <v>11</v>
      </c>
      <c r="E61" t="s">
        <v>75</v>
      </c>
      <c r="F61">
        <v>6</v>
      </c>
      <c r="G61" t="s">
        <v>18</v>
      </c>
      <c r="H61" s="15">
        <v>4230</v>
      </c>
      <c r="I61" t="s">
        <v>14</v>
      </c>
      <c r="J61" t="s">
        <v>15</v>
      </c>
    </row>
    <row r="62" spans="1:10" hidden="1" x14ac:dyDescent="0.45">
      <c r="A62">
        <v>1063</v>
      </c>
      <c r="B62" s="1">
        <v>45714</v>
      </c>
      <c r="C62" t="s">
        <v>28</v>
      </c>
      <c r="D62" t="s">
        <v>11</v>
      </c>
      <c r="E62" t="s">
        <v>76</v>
      </c>
      <c r="F62">
        <v>2</v>
      </c>
      <c r="G62" t="s">
        <v>18</v>
      </c>
      <c r="H62" s="15">
        <v>4030</v>
      </c>
      <c r="I62" t="s">
        <v>14</v>
      </c>
      <c r="J62" t="s">
        <v>20</v>
      </c>
    </row>
    <row r="63" spans="1:10" hidden="1" x14ac:dyDescent="0.45">
      <c r="A63">
        <v>1064</v>
      </c>
      <c r="B63" s="1">
        <v>45729</v>
      </c>
      <c r="C63" t="s">
        <v>35</v>
      </c>
      <c r="D63" t="s">
        <v>16</v>
      </c>
      <c r="E63" t="s">
        <v>77</v>
      </c>
      <c r="F63">
        <v>5</v>
      </c>
      <c r="G63" t="s">
        <v>18</v>
      </c>
      <c r="H63" s="15">
        <v>3280</v>
      </c>
      <c r="I63" t="s">
        <v>19</v>
      </c>
      <c r="J63" t="s">
        <v>15</v>
      </c>
    </row>
    <row r="64" spans="1:10" hidden="1" x14ac:dyDescent="0.45">
      <c r="A64">
        <v>1065</v>
      </c>
      <c r="B64" s="1">
        <v>45764</v>
      </c>
      <c r="C64" t="s">
        <v>28</v>
      </c>
      <c r="D64" t="s">
        <v>24</v>
      </c>
      <c r="E64" t="s">
        <v>36</v>
      </c>
      <c r="F64">
        <v>4</v>
      </c>
      <c r="G64" t="s">
        <v>26</v>
      </c>
      <c r="H64" s="15">
        <v>4570</v>
      </c>
      <c r="I64" t="s">
        <v>19</v>
      </c>
      <c r="J64" t="s">
        <v>20</v>
      </c>
    </row>
    <row r="65" spans="1:10" hidden="1" x14ac:dyDescent="0.45">
      <c r="A65">
        <v>1066</v>
      </c>
      <c r="B65" s="1">
        <v>45767</v>
      </c>
      <c r="C65" t="s">
        <v>10</v>
      </c>
      <c r="D65" t="s">
        <v>16</v>
      </c>
      <c r="E65" t="s">
        <v>78</v>
      </c>
      <c r="F65">
        <v>5</v>
      </c>
      <c r="G65" t="s">
        <v>26</v>
      </c>
      <c r="H65" s="15">
        <v>4070</v>
      </c>
      <c r="I65" t="s">
        <v>14</v>
      </c>
      <c r="J65" t="s">
        <v>15</v>
      </c>
    </row>
    <row r="66" spans="1:10" hidden="1" x14ac:dyDescent="0.45">
      <c r="A66">
        <v>1067</v>
      </c>
      <c r="B66" s="1">
        <v>45834</v>
      </c>
      <c r="C66" t="s">
        <v>35</v>
      </c>
      <c r="D66" t="s">
        <v>11</v>
      </c>
      <c r="E66" t="s">
        <v>79</v>
      </c>
      <c r="F66">
        <v>3</v>
      </c>
      <c r="G66" t="s">
        <v>26</v>
      </c>
      <c r="H66" s="15">
        <v>900</v>
      </c>
      <c r="I66" t="s">
        <v>14</v>
      </c>
      <c r="J66" t="s">
        <v>15</v>
      </c>
    </row>
    <row r="67" spans="1:10" x14ac:dyDescent="0.45">
      <c r="A67">
        <v>1068</v>
      </c>
      <c r="B67" s="1">
        <v>45822</v>
      </c>
      <c r="C67" t="s">
        <v>30</v>
      </c>
      <c r="D67" t="s">
        <v>21</v>
      </c>
      <c r="E67" t="s">
        <v>59</v>
      </c>
      <c r="F67">
        <v>5</v>
      </c>
      <c r="G67" t="s">
        <v>13</v>
      </c>
      <c r="H67" s="15">
        <v>580</v>
      </c>
      <c r="I67" t="s">
        <v>14</v>
      </c>
      <c r="J67" t="s">
        <v>23</v>
      </c>
    </row>
    <row r="68" spans="1:10" hidden="1" x14ac:dyDescent="0.45">
      <c r="A68">
        <v>1069</v>
      </c>
      <c r="B68" s="1">
        <v>45846</v>
      </c>
      <c r="C68" t="s">
        <v>28</v>
      </c>
      <c r="D68" t="s">
        <v>24</v>
      </c>
      <c r="E68" t="s">
        <v>34</v>
      </c>
      <c r="F68">
        <v>4</v>
      </c>
      <c r="G68" t="s">
        <v>13</v>
      </c>
      <c r="H68" s="15">
        <v>4730</v>
      </c>
      <c r="I68" t="s">
        <v>29</v>
      </c>
      <c r="J68" t="s">
        <v>23</v>
      </c>
    </row>
    <row r="69" spans="1:10" hidden="1" x14ac:dyDescent="0.45">
      <c r="A69">
        <v>1070</v>
      </c>
      <c r="B69" s="1">
        <v>45695</v>
      </c>
      <c r="C69" t="s">
        <v>28</v>
      </c>
      <c r="D69" t="s">
        <v>16</v>
      </c>
      <c r="E69" t="s">
        <v>80</v>
      </c>
      <c r="F69">
        <v>2</v>
      </c>
      <c r="G69" t="s">
        <v>13</v>
      </c>
      <c r="H69" s="15">
        <v>4480</v>
      </c>
      <c r="I69" t="s">
        <v>14</v>
      </c>
      <c r="J69" t="s">
        <v>15</v>
      </c>
    </row>
    <row r="70" spans="1:10" hidden="1" x14ac:dyDescent="0.45">
      <c r="A70">
        <v>1071</v>
      </c>
      <c r="B70" s="1">
        <v>45676</v>
      </c>
      <c r="C70" t="s">
        <v>35</v>
      </c>
      <c r="D70" t="s">
        <v>16</v>
      </c>
      <c r="E70" t="s">
        <v>81</v>
      </c>
      <c r="F70">
        <v>7</v>
      </c>
      <c r="G70" t="s">
        <v>26</v>
      </c>
      <c r="H70" s="15">
        <v>1880</v>
      </c>
      <c r="I70" t="s">
        <v>29</v>
      </c>
      <c r="J70" t="s">
        <v>20</v>
      </c>
    </row>
    <row r="71" spans="1:10" hidden="1" x14ac:dyDescent="0.45">
      <c r="A71">
        <v>1072</v>
      </c>
      <c r="B71" s="1">
        <v>45736</v>
      </c>
      <c r="C71" t="s">
        <v>10</v>
      </c>
      <c r="D71" t="s">
        <v>16</v>
      </c>
      <c r="E71" t="s">
        <v>72</v>
      </c>
      <c r="F71">
        <v>3</v>
      </c>
      <c r="G71" t="s">
        <v>13</v>
      </c>
      <c r="H71" s="15">
        <v>2470</v>
      </c>
      <c r="I71" t="s">
        <v>29</v>
      </c>
      <c r="J71" t="s">
        <v>15</v>
      </c>
    </row>
    <row r="72" spans="1:10" x14ac:dyDescent="0.45">
      <c r="A72">
        <v>1073</v>
      </c>
      <c r="B72" s="1">
        <v>45698</v>
      </c>
      <c r="C72" t="s">
        <v>35</v>
      </c>
      <c r="D72" t="s">
        <v>21</v>
      </c>
      <c r="E72" t="s">
        <v>43</v>
      </c>
      <c r="F72">
        <v>1</v>
      </c>
      <c r="G72" t="s">
        <v>26</v>
      </c>
      <c r="H72" s="15">
        <v>2590</v>
      </c>
      <c r="I72" t="s">
        <v>29</v>
      </c>
      <c r="J72" t="s">
        <v>23</v>
      </c>
    </row>
    <row r="73" spans="1:10" x14ac:dyDescent="0.45">
      <c r="A73">
        <v>1074</v>
      </c>
      <c r="B73" s="1">
        <v>45795</v>
      </c>
      <c r="C73" t="s">
        <v>10</v>
      </c>
      <c r="D73" t="s">
        <v>21</v>
      </c>
      <c r="E73" t="s">
        <v>67</v>
      </c>
      <c r="F73">
        <v>5</v>
      </c>
      <c r="G73" t="s">
        <v>13</v>
      </c>
      <c r="H73" s="15">
        <v>3600</v>
      </c>
      <c r="I73" t="s">
        <v>29</v>
      </c>
      <c r="J73" t="s">
        <v>20</v>
      </c>
    </row>
    <row r="74" spans="1:10" x14ac:dyDescent="0.45">
      <c r="A74">
        <v>1075</v>
      </c>
      <c r="B74" s="1">
        <v>45794</v>
      </c>
      <c r="C74" t="s">
        <v>30</v>
      </c>
      <c r="D74" t="s">
        <v>21</v>
      </c>
      <c r="E74" t="s">
        <v>82</v>
      </c>
      <c r="F74">
        <v>2</v>
      </c>
      <c r="G74" t="s">
        <v>18</v>
      </c>
      <c r="H74" s="15">
        <v>2580</v>
      </c>
      <c r="I74" t="s">
        <v>19</v>
      </c>
      <c r="J74" t="s">
        <v>23</v>
      </c>
    </row>
    <row r="75" spans="1:10" x14ac:dyDescent="0.45">
      <c r="A75">
        <v>1076</v>
      </c>
      <c r="B75" s="1">
        <v>45790</v>
      </c>
      <c r="C75" t="s">
        <v>10</v>
      </c>
      <c r="D75" t="s">
        <v>21</v>
      </c>
      <c r="E75" t="s">
        <v>17</v>
      </c>
      <c r="F75">
        <v>6</v>
      </c>
      <c r="G75" t="s">
        <v>13</v>
      </c>
      <c r="H75" s="15">
        <v>4450</v>
      </c>
      <c r="I75" t="s">
        <v>19</v>
      </c>
      <c r="J75" t="s">
        <v>23</v>
      </c>
    </row>
    <row r="76" spans="1:10" hidden="1" x14ac:dyDescent="0.45">
      <c r="A76">
        <v>1077</v>
      </c>
      <c r="B76" s="1">
        <v>45699</v>
      </c>
      <c r="C76" t="s">
        <v>10</v>
      </c>
      <c r="D76" t="s">
        <v>24</v>
      </c>
      <c r="E76" t="s">
        <v>83</v>
      </c>
      <c r="F76">
        <v>1</v>
      </c>
      <c r="G76" t="s">
        <v>13</v>
      </c>
      <c r="H76" s="15">
        <v>520</v>
      </c>
      <c r="I76" t="s">
        <v>29</v>
      </c>
      <c r="J76" t="s">
        <v>23</v>
      </c>
    </row>
    <row r="77" spans="1:10" hidden="1" x14ac:dyDescent="0.45">
      <c r="A77">
        <v>1078</v>
      </c>
      <c r="B77" s="1">
        <v>45738</v>
      </c>
      <c r="C77" t="s">
        <v>35</v>
      </c>
      <c r="D77" t="s">
        <v>24</v>
      </c>
      <c r="E77" t="s">
        <v>67</v>
      </c>
      <c r="F77">
        <v>1</v>
      </c>
      <c r="G77" t="s">
        <v>26</v>
      </c>
      <c r="H77" s="15">
        <v>4100</v>
      </c>
      <c r="I77" t="s">
        <v>29</v>
      </c>
      <c r="J77" t="s">
        <v>20</v>
      </c>
    </row>
    <row r="78" spans="1:10" hidden="1" x14ac:dyDescent="0.45">
      <c r="A78">
        <v>1079</v>
      </c>
      <c r="B78" s="1">
        <v>45796</v>
      </c>
      <c r="C78" t="s">
        <v>35</v>
      </c>
      <c r="D78" t="s">
        <v>11</v>
      </c>
      <c r="E78" t="s">
        <v>82</v>
      </c>
      <c r="F78">
        <v>6</v>
      </c>
      <c r="G78" t="s">
        <v>13</v>
      </c>
      <c r="H78" s="15">
        <v>1930</v>
      </c>
      <c r="I78" t="s">
        <v>14</v>
      </c>
      <c r="J78" t="s">
        <v>15</v>
      </c>
    </row>
    <row r="79" spans="1:10" hidden="1" x14ac:dyDescent="0.45">
      <c r="A79">
        <v>1080</v>
      </c>
      <c r="B79" s="1">
        <v>45803</v>
      </c>
      <c r="C79" t="s">
        <v>28</v>
      </c>
      <c r="D79" t="s">
        <v>16</v>
      </c>
      <c r="E79" t="s">
        <v>84</v>
      </c>
      <c r="F79">
        <v>3</v>
      </c>
      <c r="G79" t="s">
        <v>13</v>
      </c>
      <c r="H79" s="15">
        <v>630</v>
      </c>
      <c r="I79" t="s">
        <v>19</v>
      </c>
      <c r="J79" t="s">
        <v>20</v>
      </c>
    </row>
    <row r="80" spans="1:10" hidden="1" x14ac:dyDescent="0.45">
      <c r="A80">
        <v>1081</v>
      </c>
      <c r="B80" s="1">
        <v>45768</v>
      </c>
      <c r="C80" t="s">
        <v>30</v>
      </c>
      <c r="D80" t="s">
        <v>11</v>
      </c>
      <c r="E80" t="s">
        <v>85</v>
      </c>
      <c r="F80">
        <v>3</v>
      </c>
      <c r="G80" t="s">
        <v>26</v>
      </c>
      <c r="H80" s="15">
        <v>660</v>
      </c>
      <c r="I80" t="s">
        <v>14</v>
      </c>
      <c r="J80" t="s">
        <v>15</v>
      </c>
    </row>
    <row r="81" spans="1:10" hidden="1" x14ac:dyDescent="0.45">
      <c r="A81">
        <v>1082</v>
      </c>
      <c r="B81" s="1">
        <v>45851</v>
      </c>
      <c r="C81" t="s">
        <v>35</v>
      </c>
      <c r="D81" t="s">
        <v>16</v>
      </c>
      <c r="E81" t="s">
        <v>86</v>
      </c>
      <c r="F81">
        <v>7</v>
      </c>
      <c r="G81" t="s">
        <v>18</v>
      </c>
      <c r="H81" s="15">
        <v>2910</v>
      </c>
      <c r="I81" t="s">
        <v>19</v>
      </c>
      <c r="J81" t="s">
        <v>20</v>
      </c>
    </row>
    <row r="82" spans="1:10" x14ac:dyDescent="0.45">
      <c r="A82">
        <v>1083</v>
      </c>
      <c r="B82" s="1">
        <v>45845</v>
      </c>
      <c r="C82" t="s">
        <v>30</v>
      </c>
      <c r="D82" t="s">
        <v>21</v>
      </c>
      <c r="E82" t="s">
        <v>87</v>
      </c>
      <c r="F82">
        <v>6</v>
      </c>
      <c r="G82" t="s">
        <v>13</v>
      </c>
      <c r="H82" s="15">
        <v>4240</v>
      </c>
      <c r="I82" t="s">
        <v>19</v>
      </c>
      <c r="J82" t="s">
        <v>23</v>
      </c>
    </row>
    <row r="83" spans="1:10" hidden="1" x14ac:dyDescent="0.45">
      <c r="A83">
        <v>1084</v>
      </c>
      <c r="B83" s="1">
        <v>45758</v>
      </c>
      <c r="C83" t="s">
        <v>28</v>
      </c>
      <c r="D83" t="s">
        <v>24</v>
      </c>
      <c r="E83" t="s">
        <v>33</v>
      </c>
      <c r="F83">
        <v>1</v>
      </c>
      <c r="G83" t="s">
        <v>18</v>
      </c>
      <c r="H83" s="15">
        <v>2260</v>
      </c>
      <c r="I83" t="s">
        <v>29</v>
      </c>
      <c r="J83" t="s">
        <v>15</v>
      </c>
    </row>
    <row r="84" spans="1:10" hidden="1" x14ac:dyDescent="0.45">
      <c r="A84">
        <v>1085</v>
      </c>
      <c r="B84" s="1">
        <v>45821</v>
      </c>
      <c r="C84" t="s">
        <v>10</v>
      </c>
      <c r="D84" t="s">
        <v>11</v>
      </c>
      <c r="E84" t="s">
        <v>88</v>
      </c>
      <c r="F84">
        <v>7</v>
      </c>
      <c r="G84" t="s">
        <v>13</v>
      </c>
      <c r="H84" s="15">
        <v>4640</v>
      </c>
      <c r="I84" t="s">
        <v>14</v>
      </c>
      <c r="J84" t="s">
        <v>23</v>
      </c>
    </row>
    <row r="85" spans="1:10" hidden="1" x14ac:dyDescent="0.45">
      <c r="A85">
        <v>1086</v>
      </c>
      <c r="B85" s="1">
        <v>45698</v>
      </c>
      <c r="C85" t="s">
        <v>35</v>
      </c>
      <c r="D85" t="s">
        <v>16</v>
      </c>
      <c r="E85" t="s">
        <v>86</v>
      </c>
      <c r="F85">
        <v>7</v>
      </c>
      <c r="G85" t="s">
        <v>13</v>
      </c>
      <c r="H85" s="15">
        <v>540</v>
      </c>
      <c r="I85" t="s">
        <v>29</v>
      </c>
      <c r="J85" t="s">
        <v>23</v>
      </c>
    </row>
    <row r="86" spans="1:10" hidden="1" x14ac:dyDescent="0.45">
      <c r="A86">
        <v>1087</v>
      </c>
      <c r="B86" s="1">
        <v>45696</v>
      </c>
      <c r="C86" t="s">
        <v>28</v>
      </c>
      <c r="D86" t="s">
        <v>11</v>
      </c>
      <c r="E86" t="s">
        <v>33</v>
      </c>
      <c r="F86">
        <v>4</v>
      </c>
      <c r="G86" t="s">
        <v>18</v>
      </c>
      <c r="H86" s="15">
        <v>3840</v>
      </c>
      <c r="I86" t="s">
        <v>19</v>
      </c>
      <c r="J86" t="s">
        <v>23</v>
      </c>
    </row>
    <row r="87" spans="1:10" hidden="1" x14ac:dyDescent="0.45">
      <c r="A87">
        <v>1088</v>
      </c>
      <c r="B87" s="1">
        <v>45783</v>
      </c>
      <c r="C87" t="s">
        <v>28</v>
      </c>
      <c r="D87" t="s">
        <v>16</v>
      </c>
      <c r="E87" t="s">
        <v>89</v>
      </c>
      <c r="F87">
        <v>5</v>
      </c>
      <c r="G87" t="s">
        <v>18</v>
      </c>
      <c r="H87" s="15">
        <v>3140</v>
      </c>
      <c r="I87" t="s">
        <v>19</v>
      </c>
      <c r="J87" t="s">
        <v>20</v>
      </c>
    </row>
    <row r="88" spans="1:10" hidden="1" x14ac:dyDescent="0.45">
      <c r="A88">
        <v>1089</v>
      </c>
      <c r="B88" s="1">
        <v>45663</v>
      </c>
      <c r="C88" t="s">
        <v>28</v>
      </c>
      <c r="D88" t="s">
        <v>24</v>
      </c>
      <c r="E88" t="s">
        <v>79</v>
      </c>
      <c r="F88">
        <v>4</v>
      </c>
      <c r="G88" t="s">
        <v>18</v>
      </c>
      <c r="H88" s="15">
        <v>1850</v>
      </c>
      <c r="I88" t="s">
        <v>19</v>
      </c>
      <c r="J88" t="s">
        <v>20</v>
      </c>
    </row>
    <row r="89" spans="1:10" x14ac:dyDescent="0.45">
      <c r="A89">
        <v>1090</v>
      </c>
      <c r="B89" s="1">
        <v>45748</v>
      </c>
      <c r="C89" t="s">
        <v>28</v>
      </c>
      <c r="D89" t="s">
        <v>21</v>
      </c>
      <c r="E89" t="s">
        <v>90</v>
      </c>
      <c r="F89">
        <v>2</v>
      </c>
      <c r="G89" t="s">
        <v>26</v>
      </c>
      <c r="H89" s="15">
        <v>2710</v>
      </c>
      <c r="I89" t="s">
        <v>29</v>
      </c>
      <c r="J89" t="s">
        <v>23</v>
      </c>
    </row>
    <row r="90" spans="1:10" hidden="1" x14ac:dyDescent="0.45">
      <c r="A90">
        <v>1091</v>
      </c>
      <c r="B90" s="1">
        <v>45783</v>
      </c>
      <c r="C90" t="s">
        <v>35</v>
      </c>
      <c r="D90" t="s">
        <v>24</v>
      </c>
      <c r="E90" t="s">
        <v>77</v>
      </c>
      <c r="F90">
        <v>6</v>
      </c>
      <c r="G90" t="s">
        <v>26</v>
      </c>
      <c r="H90" s="15">
        <v>2390</v>
      </c>
      <c r="I90" t="s">
        <v>29</v>
      </c>
      <c r="J90" t="s">
        <v>15</v>
      </c>
    </row>
    <row r="91" spans="1:10" hidden="1" x14ac:dyDescent="0.45">
      <c r="A91">
        <v>1092</v>
      </c>
      <c r="B91" s="1">
        <v>45713</v>
      </c>
      <c r="C91" t="s">
        <v>30</v>
      </c>
      <c r="D91" t="s">
        <v>11</v>
      </c>
      <c r="E91" t="s">
        <v>91</v>
      </c>
      <c r="F91">
        <v>2</v>
      </c>
      <c r="G91" t="s">
        <v>13</v>
      </c>
      <c r="H91" s="15">
        <v>2690</v>
      </c>
      <c r="I91" t="s">
        <v>29</v>
      </c>
      <c r="J91" t="s">
        <v>15</v>
      </c>
    </row>
    <row r="92" spans="1:10" x14ac:dyDescent="0.45">
      <c r="A92">
        <v>1093</v>
      </c>
      <c r="B92" s="1">
        <v>45777</v>
      </c>
      <c r="C92" t="s">
        <v>30</v>
      </c>
      <c r="D92" t="s">
        <v>21</v>
      </c>
      <c r="E92" t="s">
        <v>85</v>
      </c>
      <c r="F92">
        <v>4</v>
      </c>
      <c r="G92" t="s">
        <v>26</v>
      </c>
      <c r="H92" s="15">
        <v>850</v>
      </c>
      <c r="I92" t="s">
        <v>14</v>
      </c>
      <c r="J92" t="s">
        <v>23</v>
      </c>
    </row>
    <row r="93" spans="1:10" hidden="1" x14ac:dyDescent="0.45">
      <c r="A93">
        <v>1094</v>
      </c>
      <c r="B93" s="1">
        <v>45679</v>
      </c>
      <c r="C93" t="s">
        <v>28</v>
      </c>
      <c r="D93" t="s">
        <v>11</v>
      </c>
      <c r="E93" t="s">
        <v>34</v>
      </c>
      <c r="F93">
        <v>3</v>
      </c>
      <c r="G93" t="s">
        <v>26</v>
      </c>
      <c r="H93" s="15">
        <v>2210</v>
      </c>
      <c r="I93" t="s">
        <v>29</v>
      </c>
      <c r="J93" t="s">
        <v>23</v>
      </c>
    </row>
    <row r="94" spans="1:10" hidden="1" x14ac:dyDescent="0.45">
      <c r="A94">
        <v>1095</v>
      </c>
      <c r="B94" s="1">
        <v>45793</v>
      </c>
      <c r="C94" t="s">
        <v>10</v>
      </c>
      <c r="D94" t="s">
        <v>24</v>
      </c>
      <c r="E94" t="s">
        <v>92</v>
      </c>
      <c r="F94">
        <v>3</v>
      </c>
      <c r="G94" t="s">
        <v>18</v>
      </c>
      <c r="H94" s="15">
        <v>3770</v>
      </c>
      <c r="I94" t="s">
        <v>14</v>
      </c>
      <c r="J94" t="s">
        <v>23</v>
      </c>
    </row>
    <row r="95" spans="1:10" x14ac:dyDescent="0.45">
      <c r="A95">
        <v>1096</v>
      </c>
      <c r="B95" s="1">
        <v>45811</v>
      </c>
      <c r="C95" t="s">
        <v>10</v>
      </c>
      <c r="D95" t="s">
        <v>21</v>
      </c>
      <c r="E95" t="s">
        <v>93</v>
      </c>
      <c r="F95">
        <v>4</v>
      </c>
      <c r="G95" t="s">
        <v>26</v>
      </c>
      <c r="H95" s="15">
        <v>4210</v>
      </c>
      <c r="I95" t="s">
        <v>14</v>
      </c>
      <c r="J95" t="s">
        <v>20</v>
      </c>
    </row>
    <row r="96" spans="1:10" hidden="1" x14ac:dyDescent="0.45">
      <c r="A96">
        <v>1097</v>
      </c>
      <c r="B96" s="1">
        <v>45763</v>
      </c>
      <c r="C96" t="s">
        <v>10</v>
      </c>
      <c r="D96" t="s">
        <v>24</v>
      </c>
      <c r="E96" t="s">
        <v>32</v>
      </c>
      <c r="F96">
        <v>7</v>
      </c>
      <c r="G96" t="s">
        <v>18</v>
      </c>
      <c r="H96" s="15">
        <v>1990</v>
      </c>
      <c r="I96" t="s">
        <v>29</v>
      </c>
      <c r="J96" t="s">
        <v>15</v>
      </c>
    </row>
    <row r="97" spans="1:10" hidden="1" x14ac:dyDescent="0.45">
      <c r="A97">
        <v>1098</v>
      </c>
      <c r="B97" s="1">
        <v>45688</v>
      </c>
      <c r="C97" t="s">
        <v>35</v>
      </c>
      <c r="D97" t="s">
        <v>16</v>
      </c>
      <c r="E97" t="s">
        <v>52</v>
      </c>
      <c r="F97">
        <v>3</v>
      </c>
      <c r="G97" t="s">
        <v>18</v>
      </c>
      <c r="H97" s="15">
        <v>2320</v>
      </c>
      <c r="I97" t="s">
        <v>19</v>
      </c>
      <c r="J97" t="s">
        <v>15</v>
      </c>
    </row>
    <row r="98" spans="1:10" hidden="1" x14ac:dyDescent="0.45">
      <c r="A98">
        <v>1099</v>
      </c>
      <c r="B98" s="1">
        <v>45665</v>
      </c>
      <c r="C98" t="s">
        <v>10</v>
      </c>
      <c r="D98" t="s">
        <v>11</v>
      </c>
      <c r="E98" t="s">
        <v>94</v>
      </c>
      <c r="F98">
        <v>6</v>
      </c>
      <c r="G98" t="s">
        <v>26</v>
      </c>
      <c r="H98" s="15">
        <v>3020</v>
      </c>
      <c r="I98" t="s">
        <v>19</v>
      </c>
      <c r="J98" t="s">
        <v>20</v>
      </c>
    </row>
    <row r="99" spans="1:10" hidden="1" x14ac:dyDescent="0.45">
      <c r="A99">
        <v>1100</v>
      </c>
      <c r="B99" s="1">
        <v>45767</v>
      </c>
      <c r="C99" t="s">
        <v>10</v>
      </c>
      <c r="D99" t="s">
        <v>16</v>
      </c>
      <c r="E99" t="s">
        <v>25</v>
      </c>
      <c r="F99">
        <v>4</v>
      </c>
      <c r="G99" t="s">
        <v>13</v>
      </c>
      <c r="H99" s="15">
        <v>2440</v>
      </c>
      <c r="I99" t="s">
        <v>14</v>
      </c>
      <c r="J99" t="s">
        <v>20</v>
      </c>
    </row>
    <row r="100" spans="1:10" hidden="1" x14ac:dyDescent="0.45">
      <c r="A100">
        <v>1101</v>
      </c>
      <c r="B100" s="1">
        <v>45709</v>
      </c>
      <c r="C100" t="s">
        <v>10</v>
      </c>
      <c r="D100" t="s">
        <v>16</v>
      </c>
      <c r="E100" t="s">
        <v>95</v>
      </c>
      <c r="F100">
        <v>3</v>
      </c>
      <c r="G100" t="s">
        <v>26</v>
      </c>
      <c r="H100" s="15">
        <v>4480</v>
      </c>
      <c r="I100" t="s">
        <v>29</v>
      </c>
      <c r="J100" t="s">
        <v>20</v>
      </c>
    </row>
    <row r="101" spans="1:10" hidden="1" x14ac:dyDescent="0.45">
      <c r="A101">
        <v>1102</v>
      </c>
      <c r="B101" s="1">
        <v>45799</v>
      </c>
      <c r="C101" t="s">
        <v>30</v>
      </c>
      <c r="D101" t="s">
        <v>24</v>
      </c>
      <c r="E101" t="s">
        <v>51</v>
      </c>
      <c r="F101">
        <v>4</v>
      </c>
      <c r="G101" t="s">
        <v>26</v>
      </c>
      <c r="H101" s="15">
        <v>4670</v>
      </c>
      <c r="I101" t="s">
        <v>14</v>
      </c>
      <c r="J101" t="s">
        <v>20</v>
      </c>
    </row>
    <row r="102" spans="1:10" x14ac:dyDescent="0.45">
      <c r="A102">
        <v>1103</v>
      </c>
      <c r="B102" s="1">
        <v>45663</v>
      </c>
      <c r="C102" t="s">
        <v>30</v>
      </c>
      <c r="D102" t="s">
        <v>21</v>
      </c>
      <c r="E102" t="s">
        <v>96</v>
      </c>
      <c r="F102">
        <v>2</v>
      </c>
      <c r="G102" t="s">
        <v>26</v>
      </c>
      <c r="H102" s="15">
        <v>4090</v>
      </c>
      <c r="I102" t="s">
        <v>29</v>
      </c>
      <c r="J102" t="s">
        <v>20</v>
      </c>
    </row>
    <row r="103" spans="1:10" hidden="1" x14ac:dyDescent="0.45">
      <c r="A103">
        <v>1104</v>
      </c>
      <c r="B103" s="1">
        <v>45785</v>
      </c>
      <c r="C103" t="s">
        <v>35</v>
      </c>
      <c r="D103" t="s">
        <v>24</v>
      </c>
      <c r="E103" t="s">
        <v>97</v>
      </c>
      <c r="F103">
        <v>7</v>
      </c>
      <c r="G103" t="s">
        <v>13</v>
      </c>
      <c r="H103" s="15">
        <v>3880</v>
      </c>
      <c r="I103" t="s">
        <v>14</v>
      </c>
      <c r="J103" t="s">
        <v>20</v>
      </c>
    </row>
    <row r="104" spans="1:10" x14ac:dyDescent="0.45">
      <c r="A104">
        <v>1105</v>
      </c>
      <c r="B104" s="1">
        <v>45833</v>
      </c>
      <c r="C104" t="s">
        <v>35</v>
      </c>
      <c r="D104" t="s">
        <v>21</v>
      </c>
      <c r="E104" t="s">
        <v>90</v>
      </c>
      <c r="F104">
        <v>6</v>
      </c>
      <c r="G104" t="s">
        <v>18</v>
      </c>
      <c r="H104" s="15">
        <v>1640</v>
      </c>
      <c r="I104" t="s">
        <v>14</v>
      </c>
      <c r="J104" t="s">
        <v>20</v>
      </c>
    </row>
    <row r="105" spans="1:10" hidden="1" x14ac:dyDescent="0.45">
      <c r="A105">
        <v>1106</v>
      </c>
      <c r="B105" s="1">
        <v>45688</v>
      </c>
      <c r="C105" t="s">
        <v>10</v>
      </c>
      <c r="D105" t="s">
        <v>16</v>
      </c>
      <c r="E105" t="s">
        <v>98</v>
      </c>
      <c r="F105">
        <v>1</v>
      </c>
      <c r="G105" t="s">
        <v>26</v>
      </c>
      <c r="H105" s="15">
        <v>2730</v>
      </c>
      <c r="I105" t="s">
        <v>29</v>
      </c>
      <c r="J105" t="s">
        <v>23</v>
      </c>
    </row>
    <row r="106" spans="1:10" x14ac:dyDescent="0.45">
      <c r="A106">
        <v>1107</v>
      </c>
      <c r="B106" s="1">
        <v>45820</v>
      </c>
      <c r="C106" t="s">
        <v>10</v>
      </c>
      <c r="D106" t="s">
        <v>21</v>
      </c>
      <c r="E106" t="s">
        <v>99</v>
      </c>
      <c r="F106">
        <v>2</v>
      </c>
      <c r="G106" t="s">
        <v>26</v>
      </c>
      <c r="H106" s="15">
        <v>3920</v>
      </c>
      <c r="I106" t="s">
        <v>29</v>
      </c>
      <c r="J106" t="s">
        <v>23</v>
      </c>
    </row>
    <row r="107" spans="1:10" x14ac:dyDescent="0.45">
      <c r="A107">
        <v>1108</v>
      </c>
      <c r="B107" s="1">
        <v>45802</v>
      </c>
      <c r="C107" t="s">
        <v>10</v>
      </c>
      <c r="D107" t="s">
        <v>21</v>
      </c>
      <c r="E107" t="s">
        <v>44</v>
      </c>
      <c r="F107">
        <v>5</v>
      </c>
      <c r="G107" t="s">
        <v>18</v>
      </c>
      <c r="H107" s="15">
        <v>4610</v>
      </c>
      <c r="I107" t="s">
        <v>29</v>
      </c>
      <c r="J107" t="s">
        <v>15</v>
      </c>
    </row>
    <row r="108" spans="1:10" hidden="1" x14ac:dyDescent="0.45">
      <c r="A108">
        <v>1109</v>
      </c>
      <c r="B108" s="1">
        <v>45726</v>
      </c>
      <c r="C108" t="s">
        <v>10</v>
      </c>
      <c r="D108" t="s">
        <v>11</v>
      </c>
      <c r="E108" t="s">
        <v>36</v>
      </c>
      <c r="F108">
        <v>7</v>
      </c>
      <c r="G108" t="s">
        <v>13</v>
      </c>
      <c r="H108" s="15">
        <v>3670</v>
      </c>
      <c r="I108" t="s">
        <v>19</v>
      </c>
      <c r="J108" t="s">
        <v>23</v>
      </c>
    </row>
    <row r="109" spans="1:10" hidden="1" x14ac:dyDescent="0.45">
      <c r="A109">
        <v>1110</v>
      </c>
      <c r="B109" s="1">
        <v>45854</v>
      </c>
      <c r="C109" t="s">
        <v>30</v>
      </c>
      <c r="D109" t="s">
        <v>11</v>
      </c>
      <c r="E109" t="s">
        <v>100</v>
      </c>
      <c r="F109">
        <v>5</v>
      </c>
      <c r="G109" t="s">
        <v>26</v>
      </c>
      <c r="H109" s="15">
        <v>4110</v>
      </c>
      <c r="I109" t="s">
        <v>19</v>
      </c>
      <c r="J109" t="s">
        <v>20</v>
      </c>
    </row>
    <row r="110" spans="1:10" x14ac:dyDescent="0.45">
      <c r="A110">
        <v>1111</v>
      </c>
      <c r="B110" s="1">
        <v>45757</v>
      </c>
      <c r="C110" t="s">
        <v>10</v>
      </c>
      <c r="D110" t="s">
        <v>21</v>
      </c>
      <c r="E110" t="s">
        <v>101</v>
      </c>
      <c r="F110">
        <v>1</v>
      </c>
      <c r="G110" t="s">
        <v>18</v>
      </c>
      <c r="H110" s="15">
        <v>630</v>
      </c>
      <c r="I110" t="s">
        <v>14</v>
      </c>
      <c r="J110" t="s">
        <v>23</v>
      </c>
    </row>
    <row r="111" spans="1:10" hidden="1" x14ac:dyDescent="0.45">
      <c r="A111">
        <v>1112</v>
      </c>
      <c r="B111" s="1">
        <v>45789</v>
      </c>
      <c r="C111" t="s">
        <v>30</v>
      </c>
      <c r="D111" t="s">
        <v>16</v>
      </c>
      <c r="E111" t="s">
        <v>80</v>
      </c>
      <c r="F111">
        <v>2</v>
      </c>
      <c r="G111" t="s">
        <v>18</v>
      </c>
      <c r="H111" s="15">
        <v>1180</v>
      </c>
      <c r="I111" t="s">
        <v>14</v>
      </c>
      <c r="J111" t="s">
        <v>15</v>
      </c>
    </row>
    <row r="112" spans="1:10" x14ac:dyDescent="0.45">
      <c r="A112">
        <v>1113</v>
      </c>
      <c r="B112" s="1">
        <v>45793</v>
      </c>
      <c r="C112" t="s">
        <v>35</v>
      </c>
      <c r="D112" t="s">
        <v>21</v>
      </c>
      <c r="E112" t="s">
        <v>100</v>
      </c>
      <c r="F112">
        <v>2</v>
      </c>
      <c r="G112" t="s">
        <v>18</v>
      </c>
      <c r="H112" s="15">
        <v>1560</v>
      </c>
      <c r="I112" t="s">
        <v>19</v>
      </c>
      <c r="J112" t="s">
        <v>23</v>
      </c>
    </row>
    <row r="113" spans="1:10" hidden="1" x14ac:dyDescent="0.45">
      <c r="A113">
        <v>1114</v>
      </c>
      <c r="B113" s="1">
        <v>45779</v>
      </c>
      <c r="C113" t="s">
        <v>28</v>
      </c>
      <c r="D113" t="s">
        <v>16</v>
      </c>
      <c r="E113" t="s">
        <v>98</v>
      </c>
      <c r="F113">
        <v>2</v>
      </c>
      <c r="G113" t="s">
        <v>13</v>
      </c>
      <c r="H113" s="15">
        <v>2470</v>
      </c>
      <c r="I113" t="s">
        <v>29</v>
      </c>
      <c r="J113" t="s">
        <v>20</v>
      </c>
    </row>
    <row r="114" spans="1:10" hidden="1" x14ac:dyDescent="0.45">
      <c r="A114">
        <v>1115</v>
      </c>
      <c r="B114" s="1">
        <v>45770</v>
      </c>
      <c r="C114" t="s">
        <v>30</v>
      </c>
      <c r="D114" t="s">
        <v>24</v>
      </c>
      <c r="E114" t="s">
        <v>98</v>
      </c>
      <c r="F114">
        <v>1</v>
      </c>
      <c r="G114" t="s">
        <v>18</v>
      </c>
      <c r="H114" s="15">
        <v>3080</v>
      </c>
      <c r="I114" t="s">
        <v>29</v>
      </c>
      <c r="J114" t="s">
        <v>20</v>
      </c>
    </row>
    <row r="115" spans="1:10" hidden="1" x14ac:dyDescent="0.45">
      <c r="A115">
        <v>1116</v>
      </c>
      <c r="B115" s="1">
        <v>45821</v>
      </c>
      <c r="C115" t="s">
        <v>30</v>
      </c>
      <c r="D115" t="s">
        <v>16</v>
      </c>
      <c r="E115" t="s">
        <v>75</v>
      </c>
      <c r="F115">
        <v>1</v>
      </c>
      <c r="G115" t="s">
        <v>13</v>
      </c>
      <c r="H115" s="15">
        <v>2680</v>
      </c>
      <c r="I115" t="s">
        <v>14</v>
      </c>
      <c r="J115" t="s">
        <v>15</v>
      </c>
    </row>
    <row r="116" spans="1:10" hidden="1" x14ac:dyDescent="0.45">
      <c r="A116">
        <v>1117</v>
      </c>
      <c r="B116" s="1">
        <v>45848</v>
      </c>
      <c r="C116" t="s">
        <v>28</v>
      </c>
      <c r="D116" t="s">
        <v>11</v>
      </c>
      <c r="E116" t="s">
        <v>102</v>
      </c>
      <c r="F116">
        <v>2</v>
      </c>
      <c r="G116" t="s">
        <v>18</v>
      </c>
      <c r="H116" s="15">
        <v>4390</v>
      </c>
      <c r="I116" t="s">
        <v>14</v>
      </c>
      <c r="J116" t="s">
        <v>15</v>
      </c>
    </row>
    <row r="117" spans="1:10" hidden="1" x14ac:dyDescent="0.45">
      <c r="A117">
        <v>1118</v>
      </c>
      <c r="B117" s="1">
        <v>45693</v>
      </c>
      <c r="C117" t="s">
        <v>30</v>
      </c>
      <c r="D117" t="s">
        <v>11</v>
      </c>
      <c r="E117" t="s">
        <v>103</v>
      </c>
      <c r="F117">
        <v>5</v>
      </c>
      <c r="G117" t="s">
        <v>18</v>
      </c>
      <c r="H117" s="15">
        <v>2520</v>
      </c>
      <c r="I117" t="s">
        <v>19</v>
      </c>
      <c r="J117" t="s">
        <v>15</v>
      </c>
    </row>
    <row r="118" spans="1:10" hidden="1" x14ac:dyDescent="0.45">
      <c r="A118">
        <v>1119</v>
      </c>
      <c r="B118" s="1">
        <v>45658</v>
      </c>
      <c r="C118" t="s">
        <v>35</v>
      </c>
      <c r="D118" t="s">
        <v>11</v>
      </c>
      <c r="E118" t="s">
        <v>98</v>
      </c>
      <c r="F118">
        <v>6</v>
      </c>
      <c r="G118" t="s">
        <v>26</v>
      </c>
      <c r="H118" s="15">
        <v>1740</v>
      </c>
      <c r="I118" t="s">
        <v>29</v>
      </c>
      <c r="J118" t="s">
        <v>20</v>
      </c>
    </row>
    <row r="119" spans="1:10" hidden="1" x14ac:dyDescent="0.45">
      <c r="A119">
        <v>1120</v>
      </c>
      <c r="B119" s="1">
        <v>45741</v>
      </c>
      <c r="C119" t="s">
        <v>28</v>
      </c>
      <c r="D119" t="s">
        <v>24</v>
      </c>
      <c r="E119" t="s">
        <v>47</v>
      </c>
      <c r="F119">
        <v>2</v>
      </c>
      <c r="G119" t="s">
        <v>26</v>
      </c>
      <c r="H119" s="15">
        <v>830</v>
      </c>
      <c r="I119" t="s">
        <v>29</v>
      </c>
      <c r="J119" t="s">
        <v>23</v>
      </c>
    </row>
    <row r="120" spans="1:10" hidden="1" x14ac:dyDescent="0.45">
      <c r="A120">
        <v>1121</v>
      </c>
      <c r="B120" s="1">
        <v>45730</v>
      </c>
      <c r="C120" t="s">
        <v>35</v>
      </c>
      <c r="D120" t="s">
        <v>24</v>
      </c>
      <c r="E120" t="s">
        <v>104</v>
      </c>
      <c r="F120">
        <v>1</v>
      </c>
      <c r="G120" t="s">
        <v>26</v>
      </c>
      <c r="H120" s="15">
        <v>1810</v>
      </c>
      <c r="I120" t="s">
        <v>19</v>
      </c>
      <c r="J120" t="s">
        <v>23</v>
      </c>
    </row>
    <row r="121" spans="1:10" hidden="1" x14ac:dyDescent="0.45">
      <c r="A121">
        <v>1122</v>
      </c>
      <c r="B121" s="1">
        <v>45671</v>
      </c>
      <c r="C121" t="s">
        <v>30</v>
      </c>
      <c r="D121" t="s">
        <v>16</v>
      </c>
      <c r="E121" t="s">
        <v>105</v>
      </c>
      <c r="F121">
        <v>4</v>
      </c>
      <c r="G121" t="s">
        <v>18</v>
      </c>
      <c r="H121" s="15">
        <v>4780</v>
      </c>
      <c r="I121" t="s">
        <v>19</v>
      </c>
      <c r="J121" t="s">
        <v>23</v>
      </c>
    </row>
    <row r="122" spans="1:10" hidden="1" x14ac:dyDescent="0.45">
      <c r="A122">
        <v>1123</v>
      </c>
      <c r="B122" s="1">
        <v>45769</v>
      </c>
      <c r="C122" t="s">
        <v>28</v>
      </c>
      <c r="D122" t="s">
        <v>24</v>
      </c>
      <c r="E122" t="s">
        <v>67</v>
      </c>
      <c r="F122">
        <v>2</v>
      </c>
      <c r="G122" t="s">
        <v>26</v>
      </c>
      <c r="H122" s="15">
        <v>4660</v>
      </c>
      <c r="I122" t="s">
        <v>14</v>
      </c>
      <c r="J122" t="s">
        <v>15</v>
      </c>
    </row>
    <row r="123" spans="1:10" hidden="1" x14ac:dyDescent="0.45">
      <c r="A123">
        <v>1124</v>
      </c>
      <c r="B123" s="1">
        <v>45790</v>
      </c>
      <c r="C123" t="s">
        <v>30</v>
      </c>
      <c r="D123" t="s">
        <v>24</v>
      </c>
      <c r="E123" t="s">
        <v>46</v>
      </c>
      <c r="F123">
        <v>2</v>
      </c>
      <c r="G123" t="s">
        <v>13</v>
      </c>
      <c r="H123" s="15">
        <v>1230</v>
      </c>
      <c r="I123" t="s">
        <v>19</v>
      </c>
      <c r="J123" t="s">
        <v>23</v>
      </c>
    </row>
    <row r="124" spans="1:10" hidden="1" x14ac:dyDescent="0.45">
      <c r="A124">
        <v>1125</v>
      </c>
      <c r="B124" s="1">
        <v>45732</v>
      </c>
      <c r="C124" t="s">
        <v>30</v>
      </c>
      <c r="D124" t="s">
        <v>16</v>
      </c>
      <c r="E124" t="s">
        <v>69</v>
      </c>
      <c r="F124">
        <v>1</v>
      </c>
      <c r="G124" t="s">
        <v>13</v>
      </c>
      <c r="H124" s="15">
        <v>2190</v>
      </c>
      <c r="I124" t="s">
        <v>19</v>
      </c>
      <c r="J124" t="s">
        <v>23</v>
      </c>
    </row>
    <row r="125" spans="1:10" hidden="1" x14ac:dyDescent="0.45">
      <c r="A125">
        <v>1126</v>
      </c>
      <c r="B125" s="1">
        <v>45692</v>
      </c>
      <c r="C125" t="s">
        <v>10</v>
      </c>
      <c r="D125" t="s">
        <v>11</v>
      </c>
      <c r="E125" t="s">
        <v>106</v>
      </c>
      <c r="F125">
        <v>2</v>
      </c>
      <c r="G125" t="s">
        <v>26</v>
      </c>
      <c r="H125" s="15">
        <v>4880</v>
      </c>
      <c r="I125" t="s">
        <v>19</v>
      </c>
      <c r="J125" t="s">
        <v>20</v>
      </c>
    </row>
    <row r="126" spans="1:10" x14ac:dyDescent="0.45">
      <c r="A126">
        <v>1127</v>
      </c>
      <c r="B126" s="1">
        <v>45702</v>
      </c>
      <c r="C126" t="s">
        <v>10</v>
      </c>
      <c r="D126" t="s">
        <v>21</v>
      </c>
      <c r="E126" t="s">
        <v>39</v>
      </c>
      <c r="F126">
        <v>4</v>
      </c>
      <c r="G126" t="s">
        <v>26</v>
      </c>
      <c r="H126" s="15">
        <v>710</v>
      </c>
      <c r="I126" t="s">
        <v>19</v>
      </c>
      <c r="J126" t="s">
        <v>23</v>
      </c>
    </row>
    <row r="127" spans="1:10" hidden="1" x14ac:dyDescent="0.45">
      <c r="A127">
        <v>1128</v>
      </c>
      <c r="B127" s="1">
        <v>45834</v>
      </c>
      <c r="C127" t="s">
        <v>35</v>
      </c>
      <c r="D127" t="s">
        <v>16</v>
      </c>
      <c r="E127" t="s">
        <v>107</v>
      </c>
      <c r="F127">
        <v>2</v>
      </c>
      <c r="G127" t="s">
        <v>18</v>
      </c>
      <c r="H127" s="15">
        <v>3580</v>
      </c>
      <c r="I127" t="s">
        <v>29</v>
      </c>
      <c r="J127" t="s">
        <v>20</v>
      </c>
    </row>
    <row r="128" spans="1:10" x14ac:dyDescent="0.45">
      <c r="A128">
        <v>1129</v>
      </c>
      <c r="B128" s="1">
        <v>45694</v>
      </c>
      <c r="C128" t="s">
        <v>28</v>
      </c>
      <c r="D128" t="s">
        <v>21</v>
      </c>
      <c r="E128" t="s">
        <v>108</v>
      </c>
      <c r="F128">
        <v>5</v>
      </c>
      <c r="G128" t="s">
        <v>18</v>
      </c>
      <c r="H128" s="15">
        <v>4310</v>
      </c>
      <c r="I128" t="s">
        <v>14</v>
      </c>
      <c r="J128" t="s">
        <v>15</v>
      </c>
    </row>
    <row r="129" spans="1:10" hidden="1" x14ac:dyDescent="0.45">
      <c r="A129">
        <v>1130</v>
      </c>
      <c r="B129" s="1">
        <v>45807</v>
      </c>
      <c r="C129" t="s">
        <v>28</v>
      </c>
      <c r="D129" t="s">
        <v>16</v>
      </c>
      <c r="E129" t="s">
        <v>48</v>
      </c>
      <c r="F129">
        <v>2</v>
      </c>
      <c r="G129" t="s">
        <v>18</v>
      </c>
      <c r="H129" s="15">
        <v>4910</v>
      </c>
      <c r="I129" t="s">
        <v>19</v>
      </c>
      <c r="J129" t="s">
        <v>15</v>
      </c>
    </row>
    <row r="130" spans="1:10" hidden="1" x14ac:dyDescent="0.45">
      <c r="A130">
        <v>1131</v>
      </c>
      <c r="B130" s="1">
        <v>45831</v>
      </c>
      <c r="C130" t="s">
        <v>30</v>
      </c>
      <c r="D130" t="s">
        <v>16</v>
      </c>
      <c r="E130" t="s">
        <v>61</v>
      </c>
      <c r="F130">
        <v>7</v>
      </c>
      <c r="G130" t="s">
        <v>26</v>
      </c>
      <c r="H130" s="15">
        <v>3710</v>
      </c>
      <c r="I130" t="s">
        <v>19</v>
      </c>
      <c r="J130" t="s">
        <v>20</v>
      </c>
    </row>
    <row r="131" spans="1:10" x14ac:dyDescent="0.45">
      <c r="A131">
        <v>1132</v>
      </c>
      <c r="B131" s="1">
        <v>45721</v>
      </c>
      <c r="C131" t="s">
        <v>28</v>
      </c>
      <c r="D131" t="s">
        <v>21</v>
      </c>
      <c r="E131" t="s">
        <v>78</v>
      </c>
      <c r="F131">
        <v>6</v>
      </c>
      <c r="G131" t="s">
        <v>26</v>
      </c>
      <c r="H131" s="15">
        <v>3650</v>
      </c>
      <c r="I131" t="s">
        <v>19</v>
      </c>
      <c r="J131" t="s">
        <v>20</v>
      </c>
    </row>
    <row r="132" spans="1:10" hidden="1" x14ac:dyDescent="0.45">
      <c r="A132">
        <v>1133</v>
      </c>
      <c r="B132" s="1">
        <v>45827</v>
      </c>
      <c r="C132" t="s">
        <v>10</v>
      </c>
      <c r="D132" t="s">
        <v>16</v>
      </c>
      <c r="E132" t="s">
        <v>31</v>
      </c>
      <c r="F132">
        <v>6</v>
      </c>
      <c r="G132" t="s">
        <v>13</v>
      </c>
      <c r="H132" s="15">
        <v>570</v>
      </c>
      <c r="I132" t="s">
        <v>14</v>
      </c>
      <c r="J132" t="s">
        <v>15</v>
      </c>
    </row>
    <row r="133" spans="1:10" hidden="1" x14ac:dyDescent="0.45">
      <c r="A133">
        <v>1134</v>
      </c>
      <c r="B133" s="1">
        <v>45753</v>
      </c>
      <c r="C133" t="s">
        <v>10</v>
      </c>
      <c r="D133" t="s">
        <v>24</v>
      </c>
      <c r="E133" t="s">
        <v>92</v>
      </c>
      <c r="F133">
        <v>1</v>
      </c>
      <c r="G133" t="s">
        <v>13</v>
      </c>
      <c r="H133" s="15">
        <v>920</v>
      </c>
      <c r="I133" t="s">
        <v>19</v>
      </c>
      <c r="J133" t="s">
        <v>23</v>
      </c>
    </row>
    <row r="134" spans="1:10" hidden="1" x14ac:dyDescent="0.45">
      <c r="A134">
        <v>1135</v>
      </c>
      <c r="B134" s="1">
        <v>45780</v>
      </c>
      <c r="C134" t="s">
        <v>10</v>
      </c>
      <c r="D134" t="s">
        <v>16</v>
      </c>
      <c r="E134" t="s">
        <v>109</v>
      </c>
      <c r="F134">
        <v>5</v>
      </c>
      <c r="G134" t="s">
        <v>13</v>
      </c>
      <c r="H134" s="15">
        <v>4440</v>
      </c>
      <c r="I134" t="s">
        <v>29</v>
      </c>
      <c r="J134" t="s">
        <v>15</v>
      </c>
    </row>
    <row r="135" spans="1:10" hidden="1" x14ac:dyDescent="0.45">
      <c r="A135">
        <v>1136</v>
      </c>
      <c r="B135" s="1">
        <v>45809</v>
      </c>
      <c r="C135" t="s">
        <v>35</v>
      </c>
      <c r="D135" t="s">
        <v>24</v>
      </c>
      <c r="E135" t="s">
        <v>110</v>
      </c>
      <c r="F135">
        <v>1</v>
      </c>
      <c r="G135" t="s">
        <v>13</v>
      </c>
      <c r="H135" s="15">
        <v>1690</v>
      </c>
      <c r="I135" t="s">
        <v>29</v>
      </c>
      <c r="J135" t="s">
        <v>20</v>
      </c>
    </row>
    <row r="136" spans="1:10" hidden="1" x14ac:dyDescent="0.45">
      <c r="A136">
        <v>1137</v>
      </c>
      <c r="B136" s="1">
        <v>45730</v>
      </c>
      <c r="C136" t="s">
        <v>10</v>
      </c>
      <c r="D136" t="s">
        <v>11</v>
      </c>
      <c r="E136" t="s">
        <v>33</v>
      </c>
      <c r="F136">
        <v>2</v>
      </c>
      <c r="G136" t="s">
        <v>13</v>
      </c>
      <c r="H136" s="15">
        <v>3020</v>
      </c>
      <c r="I136" t="s">
        <v>19</v>
      </c>
      <c r="J136" t="s">
        <v>23</v>
      </c>
    </row>
    <row r="137" spans="1:10" hidden="1" x14ac:dyDescent="0.45">
      <c r="A137">
        <v>1138</v>
      </c>
      <c r="B137" s="1">
        <v>45733</v>
      </c>
      <c r="C137" t="s">
        <v>28</v>
      </c>
      <c r="D137" t="s">
        <v>11</v>
      </c>
      <c r="E137" t="s">
        <v>72</v>
      </c>
      <c r="F137">
        <v>5</v>
      </c>
      <c r="G137" t="s">
        <v>13</v>
      </c>
      <c r="H137" s="15">
        <v>2740</v>
      </c>
      <c r="I137" t="s">
        <v>19</v>
      </c>
      <c r="J137" t="s">
        <v>20</v>
      </c>
    </row>
    <row r="138" spans="1:10" x14ac:dyDescent="0.45">
      <c r="A138">
        <v>1139</v>
      </c>
      <c r="B138" s="1">
        <v>45835</v>
      </c>
      <c r="C138" t="s">
        <v>35</v>
      </c>
      <c r="D138" t="s">
        <v>21</v>
      </c>
      <c r="E138" t="s">
        <v>111</v>
      </c>
      <c r="F138">
        <v>3</v>
      </c>
      <c r="G138" t="s">
        <v>13</v>
      </c>
      <c r="H138" s="15">
        <v>4380</v>
      </c>
      <c r="I138" t="s">
        <v>29</v>
      </c>
      <c r="J138" t="s">
        <v>23</v>
      </c>
    </row>
    <row r="139" spans="1:10" hidden="1" x14ac:dyDescent="0.45">
      <c r="A139">
        <v>1140</v>
      </c>
      <c r="B139" s="1">
        <v>45736</v>
      </c>
      <c r="C139" t="s">
        <v>10</v>
      </c>
      <c r="D139" t="s">
        <v>16</v>
      </c>
      <c r="E139" t="s">
        <v>105</v>
      </c>
      <c r="F139">
        <v>6</v>
      </c>
      <c r="G139" t="s">
        <v>18</v>
      </c>
      <c r="H139" s="15">
        <v>3570</v>
      </c>
      <c r="I139" t="s">
        <v>14</v>
      </c>
      <c r="J139" t="s">
        <v>23</v>
      </c>
    </row>
    <row r="140" spans="1:10" hidden="1" x14ac:dyDescent="0.45">
      <c r="A140">
        <v>1141</v>
      </c>
      <c r="B140" s="1">
        <v>45771</v>
      </c>
      <c r="C140" t="s">
        <v>10</v>
      </c>
      <c r="D140" t="s">
        <v>11</v>
      </c>
      <c r="E140" t="s">
        <v>62</v>
      </c>
      <c r="F140">
        <v>3</v>
      </c>
      <c r="G140" t="s">
        <v>18</v>
      </c>
      <c r="H140" s="15">
        <v>4670</v>
      </c>
      <c r="I140" t="s">
        <v>14</v>
      </c>
      <c r="J140" t="s">
        <v>23</v>
      </c>
    </row>
    <row r="141" spans="1:10" hidden="1" x14ac:dyDescent="0.45">
      <c r="A141">
        <v>1142</v>
      </c>
      <c r="B141" s="1">
        <v>45819</v>
      </c>
      <c r="C141" t="s">
        <v>35</v>
      </c>
      <c r="D141" t="s">
        <v>16</v>
      </c>
      <c r="E141" t="s">
        <v>39</v>
      </c>
      <c r="F141">
        <v>2</v>
      </c>
      <c r="G141" t="s">
        <v>13</v>
      </c>
      <c r="H141" s="15">
        <v>3990</v>
      </c>
      <c r="I141" t="s">
        <v>19</v>
      </c>
      <c r="J141" t="s">
        <v>15</v>
      </c>
    </row>
    <row r="142" spans="1:10" hidden="1" x14ac:dyDescent="0.45">
      <c r="A142">
        <v>1143</v>
      </c>
      <c r="B142" s="1">
        <v>45829</v>
      </c>
      <c r="C142" t="s">
        <v>10</v>
      </c>
      <c r="D142" t="s">
        <v>11</v>
      </c>
      <c r="E142" t="s">
        <v>112</v>
      </c>
      <c r="F142">
        <v>5</v>
      </c>
      <c r="G142" t="s">
        <v>26</v>
      </c>
      <c r="H142" s="15">
        <v>4830</v>
      </c>
      <c r="I142" t="s">
        <v>19</v>
      </c>
      <c r="J142" t="s">
        <v>23</v>
      </c>
    </row>
    <row r="143" spans="1:10" x14ac:dyDescent="0.45">
      <c r="A143">
        <v>1144</v>
      </c>
      <c r="B143" s="1">
        <v>45763</v>
      </c>
      <c r="C143" t="s">
        <v>30</v>
      </c>
      <c r="D143" t="s">
        <v>21</v>
      </c>
      <c r="E143" t="s">
        <v>81</v>
      </c>
      <c r="F143">
        <v>3</v>
      </c>
      <c r="G143" t="s">
        <v>13</v>
      </c>
      <c r="H143" s="15">
        <v>4090</v>
      </c>
      <c r="I143" t="s">
        <v>19</v>
      </c>
      <c r="J143" t="s">
        <v>20</v>
      </c>
    </row>
    <row r="144" spans="1:10" hidden="1" x14ac:dyDescent="0.45">
      <c r="A144">
        <v>1145</v>
      </c>
      <c r="B144" s="1">
        <v>45677</v>
      </c>
      <c r="C144" t="s">
        <v>30</v>
      </c>
      <c r="D144" t="s">
        <v>11</v>
      </c>
      <c r="E144" t="s">
        <v>55</v>
      </c>
      <c r="F144">
        <v>1</v>
      </c>
      <c r="G144" t="s">
        <v>26</v>
      </c>
      <c r="H144" s="15">
        <v>3210</v>
      </c>
      <c r="I144" t="s">
        <v>29</v>
      </c>
      <c r="J144" t="s">
        <v>15</v>
      </c>
    </row>
    <row r="145" spans="1:10" x14ac:dyDescent="0.45">
      <c r="A145">
        <v>1146</v>
      </c>
      <c r="B145" s="1">
        <v>45715</v>
      </c>
      <c r="C145" t="s">
        <v>30</v>
      </c>
      <c r="D145" t="s">
        <v>21</v>
      </c>
      <c r="E145" t="s">
        <v>64</v>
      </c>
      <c r="F145">
        <v>5</v>
      </c>
      <c r="G145" t="s">
        <v>26</v>
      </c>
      <c r="H145" s="15">
        <v>590</v>
      </c>
      <c r="I145" t="s">
        <v>19</v>
      </c>
      <c r="J145" t="s">
        <v>15</v>
      </c>
    </row>
    <row r="146" spans="1:10" hidden="1" x14ac:dyDescent="0.45">
      <c r="A146">
        <v>1147</v>
      </c>
      <c r="B146" s="1">
        <v>45848</v>
      </c>
      <c r="C146" t="s">
        <v>10</v>
      </c>
      <c r="D146" t="s">
        <v>24</v>
      </c>
      <c r="E146" t="s">
        <v>113</v>
      </c>
      <c r="F146">
        <v>7</v>
      </c>
      <c r="G146" t="s">
        <v>13</v>
      </c>
      <c r="H146" s="15">
        <v>3150</v>
      </c>
      <c r="I146" t="s">
        <v>14</v>
      </c>
      <c r="J146" t="s">
        <v>23</v>
      </c>
    </row>
    <row r="147" spans="1:10" hidden="1" x14ac:dyDescent="0.45">
      <c r="A147">
        <v>1148</v>
      </c>
      <c r="B147" s="1">
        <v>45810</v>
      </c>
      <c r="C147" t="s">
        <v>30</v>
      </c>
      <c r="D147" t="s">
        <v>11</v>
      </c>
      <c r="E147" t="s">
        <v>95</v>
      </c>
      <c r="F147">
        <v>6</v>
      </c>
      <c r="G147" t="s">
        <v>18</v>
      </c>
      <c r="H147" s="15">
        <v>3490</v>
      </c>
      <c r="I147" t="s">
        <v>29</v>
      </c>
      <c r="J147" t="s">
        <v>20</v>
      </c>
    </row>
    <row r="148" spans="1:10" hidden="1" x14ac:dyDescent="0.45">
      <c r="A148">
        <v>1149</v>
      </c>
      <c r="B148" s="1">
        <v>45762</v>
      </c>
      <c r="C148" t="s">
        <v>30</v>
      </c>
      <c r="D148" t="s">
        <v>11</v>
      </c>
      <c r="E148" t="s">
        <v>114</v>
      </c>
      <c r="F148">
        <v>2</v>
      </c>
      <c r="G148" t="s">
        <v>13</v>
      </c>
      <c r="H148" s="15">
        <v>540</v>
      </c>
      <c r="I148" t="s">
        <v>19</v>
      </c>
      <c r="J148" t="s">
        <v>15</v>
      </c>
    </row>
    <row r="149" spans="1:10" hidden="1" x14ac:dyDescent="0.45">
      <c r="A149">
        <v>1150</v>
      </c>
      <c r="B149" s="1">
        <v>45800</v>
      </c>
      <c r="C149" t="s">
        <v>28</v>
      </c>
      <c r="D149" t="s">
        <v>16</v>
      </c>
      <c r="E149" t="s">
        <v>100</v>
      </c>
      <c r="F149">
        <v>3</v>
      </c>
      <c r="G149" t="s">
        <v>26</v>
      </c>
      <c r="H149" s="15">
        <v>4690</v>
      </c>
      <c r="I149" t="s">
        <v>14</v>
      </c>
      <c r="J149" t="s">
        <v>15</v>
      </c>
    </row>
    <row r="150" spans="1:10" hidden="1" x14ac:dyDescent="0.45">
      <c r="A150">
        <v>1151</v>
      </c>
      <c r="B150" s="1">
        <v>45831</v>
      </c>
      <c r="C150" t="s">
        <v>10</v>
      </c>
      <c r="D150" t="s">
        <v>16</v>
      </c>
      <c r="E150" t="s">
        <v>101</v>
      </c>
      <c r="F150">
        <v>5</v>
      </c>
      <c r="G150" t="s">
        <v>13</v>
      </c>
      <c r="H150" s="15">
        <v>3540</v>
      </c>
      <c r="I150" t="s">
        <v>14</v>
      </c>
      <c r="J150" t="s">
        <v>23</v>
      </c>
    </row>
    <row r="151" spans="1:10" hidden="1" x14ac:dyDescent="0.45">
      <c r="A151">
        <v>1152</v>
      </c>
      <c r="B151" s="1">
        <v>45854</v>
      </c>
      <c r="C151" t="s">
        <v>30</v>
      </c>
      <c r="D151" t="s">
        <v>24</v>
      </c>
      <c r="E151" t="s">
        <v>100</v>
      </c>
      <c r="F151">
        <v>1</v>
      </c>
      <c r="G151" t="s">
        <v>13</v>
      </c>
      <c r="H151" s="15">
        <v>4200</v>
      </c>
      <c r="I151" t="s">
        <v>19</v>
      </c>
      <c r="J151" t="s">
        <v>23</v>
      </c>
    </row>
    <row r="152" spans="1:10" hidden="1" x14ac:dyDescent="0.45">
      <c r="A152">
        <v>1153</v>
      </c>
      <c r="B152" s="1">
        <v>45703</v>
      </c>
      <c r="C152" t="s">
        <v>28</v>
      </c>
      <c r="D152" t="s">
        <v>11</v>
      </c>
      <c r="E152" t="s">
        <v>105</v>
      </c>
      <c r="F152">
        <v>6</v>
      </c>
      <c r="G152" t="s">
        <v>26</v>
      </c>
      <c r="H152" s="15">
        <v>3730</v>
      </c>
      <c r="I152" t="s">
        <v>19</v>
      </c>
      <c r="J152" t="s">
        <v>23</v>
      </c>
    </row>
    <row r="153" spans="1:10" hidden="1" x14ac:dyDescent="0.45">
      <c r="A153">
        <v>1154</v>
      </c>
      <c r="B153" s="1">
        <v>45783</v>
      </c>
      <c r="C153" t="s">
        <v>10</v>
      </c>
      <c r="D153" t="s">
        <v>16</v>
      </c>
      <c r="E153" t="s">
        <v>37</v>
      </c>
      <c r="F153">
        <v>3</v>
      </c>
      <c r="G153" t="s">
        <v>13</v>
      </c>
      <c r="H153" s="15">
        <v>1590</v>
      </c>
      <c r="I153" t="s">
        <v>29</v>
      </c>
      <c r="J153" t="s">
        <v>20</v>
      </c>
    </row>
    <row r="154" spans="1:10" hidden="1" x14ac:dyDescent="0.45">
      <c r="A154">
        <v>1155</v>
      </c>
      <c r="B154" s="1">
        <v>45773</v>
      </c>
      <c r="C154" t="s">
        <v>10</v>
      </c>
      <c r="D154" t="s">
        <v>16</v>
      </c>
      <c r="E154" t="s">
        <v>61</v>
      </c>
      <c r="F154">
        <v>4</v>
      </c>
      <c r="G154" t="s">
        <v>18</v>
      </c>
      <c r="H154" s="15">
        <v>670</v>
      </c>
      <c r="I154" t="s">
        <v>29</v>
      </c>
      <c r="J154" t="s">
        <v>20</v>
      </c>
    </row>
    <row r="155" spans="1:10" hidden="1" x14ac:dyDescent="0.45">
      <c r="A155">
        <v>1156</v>
      </c>
      <c r="B155" s="1">
        <v>45701</v>
      </c>
      <c r="C155" t="s">
        <v>35</v>
      </c>
      <c r="D155" t="s">
        <v>24</v>
      </c>
      <c r="E155" t="s">
        <v>97</v>
      </c>
      <c r="F155">
        <v>3</v>
      </c>
      <c r="G155" t="s">
        <v>26</v>
      </c>
      <c r="H155" s="15">
        <v>3500</v>
      </c>
      <c r="I155" t="s">
        <v>19</v>
      </c>
      <c r="J155" t="s">
        <v>23</v>
      </c>
    </row>
    <row r="156" spans="1:10" hidden="1" x14ac:dyDescent="0.45">
      <c r="A156">
        <v>1157</v>
      </c>
      <c r="B156" s="1">
        <v>45686</v>
      </c>
      <c r="C156" t="s">
        <v>10</v>
      </c>
      <c r="D156" t="s">
        <v>11</v>
      </c>
      <c r="E156" t="s">
        <v>115</v>
      </c>
      <c r="F156">
        <v>2</v>
      </c>
      <c r="G156" t="s">
        <v>13</v>
      </c>
      <c r="H156" s="15">
        <v>3050</v>
      </c>
      <c r="I156" t="s">
        <v>29</v>
      </c>
      <c r="J156" t="s">
        <v>23</v>
      </c>
    </row>
    <row r="157" spans="1:10" hidden="1" x14ac:dyDescent="0.45">
      <c r="A157">
        <v>1158</v>
      </c>
      <c r="B157" s="1">
        <v>45726</v>
      </c>
      <c r="C157" t="s">
        <v>35</v>
      </c>
      <c r="D157" t="s">
        <v>16</v>
      </c>
      <c r="E157" t="s">
        <v>116</v>
      </c>
      <c r="F157">
        <v>5</v>
      </c>
      <c r="G157" t="s">
        <v>13</v>
      </c>
      <c r="H157" s="15">
        <v>4360</v>
      </c>
      <c r="I157" t="s">
        <v>14</v>
      </c>
      <c r="J157" t="s">
        <v>20</v>
      </c>
    </row>
    <row r="158" spans="1:10" hidden="1" x14ac:dyDescent="0.45">
      <c r="A158">
        <v>1159</v>
      </c>
      <c r="B158" s="1">
        <v>45755</v>
      </c>
      <c r="C158" t="s">
        <v>28</v>
      </c>
      <c r="D158" t="s">
        <v>16</v>
      </c>
      <c r="E158" t="s">
        <v>81</v>
      </c>
      <c r="F158">
        <v>3</v>
      </c>
      <c r="G158" t="s">
        <v>26</v>
      </c>
      <c r="H158" s="15">
        <v>2010</v>
      </c>
      <c r="I158" t="s">
        <v>14</v>
      </c>
      <c r="J158" t="s">
        <v>23</v>
      </c>
    </row>
    <row r="159" spans="1:10" hidden="1" x14ac:dyDescent="0.45">
      <c r="A159">
        <v>1160</v>
      </c>
      <c r="B159" s="1">
        <v>45737</v>
      </c>
      <c r="C159" t="s">
        <v>28</v>
      </c>
      <c r="D159" t="s">
        <v>24</v>
      </c>
      <c r="E159" t="s">
        <v>59</v>
      </c>
      <c r="F159">
        <v>7</v>
      </c>
      <c r="G159" t="s">
        <v>26</v>
      </c>
      <c r="H159" s="15">
        <v>3740</v>
      </c>
      <c r="I159" t="s">
        <v>14</v>
      </c>
      <c r="J159" t="s">
        <v>23</v>
      </c>
    </row>
    <row r="160" spans="1:10" hidden="1" x14ac:dyDescent="0.45">
      <c r="A160">
        <v>1161</v>
      </c>
      <c r="B160" s="1">
        <v>45739</v>
      </c>
      <c r="C160" t="s">
        <v>10</v>
      </c>
      <c r="D160" t="s">
        <v>11</v>
      </c>
      <c r="E160" t="s">
        <v>117</v>
      </c>
      <c r="F160">
        <v>2</v>
      </c>
      <c r="G160" t="s">
        <v>26</v>
      </c>
      <c r="H160" s="15">
        <v>2580</v>
      </c>
      <c r="I160" t="s">
        <v>19</v>
      </c>
      <c r="J160" t="s">
        <v>15</v>
      </c>
    </row>
    <row r="161" spans="1:10" x14ac:dyDescent="0.45">
      <c r="A161">
        <v>1162</v>
      </c>
      <c r="B161" s="1">
        <v>45675</v>
      </c>
      <c r="C161" t="s">
        <v>28</v>
      </c>
      <c r="D161" t="s">
        <v>21</v>
      </c>
      <c r="E161" t="s">
        <v>51</v>
      </c>
      <c r="F161">
        <v>2</v>
      </c>
      <c r="G161" t="s">
        <v>26</v>
      </c>
      <c r="H161" s="15">
        <v>3210</v>
      </c>
      <c r="I161" t="s">
        <v>19</v>
      </c>
      <c r="J161" t="s">
        <v>15</v>
      </c>
    </row>
    <row r="162" spans="1:10" hidden="1" x14ac:dyDescent="0.45">
      <c r="A162">
        <v>1163</v>
      </c>
      <c r="B162" s="1">
        <v>45743</v>
      </c>
      <c r="C162" t="s">
        <v>10</v>
      </c>
      <c r="D162" t="s">
        <v>11</v>
      </c>
      <c r="E162" t="s">
        <v>77</v>
      </c>
      <c r="F162">
        <v>5</v>
      </c>
      <c r="G162" t="s">
        <v>13</v>
      </c>
      <c r="H162" s="15">
        <v>3030</v>
      </c>
      <c r="I162" t="s">
        <v>29</v>
      </c>
      <c r="J162" t="s">
        <v>20</v>
      </c>
    </row>
    <row r="163" spans="1:10" hidden="1" x14ac:dyDescent="0.45">
      <c r="A163">
        <v>1164</v>
      </c>
      <c r="B163" s="1">
        <v>45733</v>
      </c>
      <c r="C163" t="s">
        <v>10</v>
      </c>
      <c r="D163" t="s">
        <v>16</v>
      </c>
      <c r="E163" t="s">
        <v>72</v>
      </c>
      <c r="F163">
        <v>2</v>
      </c>
      <c r="G163" t="s">
        <v>26</v>
      </c>
      <c r="H163" s="15">
        <v>4140</v>
      </c>
      <c r="I163" t="s">
        <v>29</v>
      </c>
      <c r="J163" t="s">
        <v>20</v>
      </c>
    </row>
    <row r="164" spans="1:10" hidden="1" x14ac:dyDescent="0.45">
      <c r="A164">
        <v>1165</v>
      </c>
      <c r="B164" s="1">
        <v>45677</v>
      </c>
      <c r="C164" t="s">
        <v>28</v>
      </c>
      <c r="D164" t="s">
        <v>24</v>
      </c>
      <c r="E164" t="s">
        <v>64</v>
      </c>
      <c r="F164">
        <v>5</v>
      </c>
      <c r="G164" t="s">
        <v>26</v>
      </c>
      <c r="H164" s="15">
        <v>4150</v>
      </c>
      <c r="I164" t="s">
        <v>14</v>
      </c>
      <c r="J164" t="s">
        <v>15</v>
      </c>
    </row>
    <row r="165" spans="1:10" hidden="1" x14ac:dyDescent="0.45">
      <c r="A165">
        <v>1166</v>
      </c>
      <c r="B165" s="1">
        <v>45811</v>
      </c>
      <c r="C165" t="s">
        <v>30</v>
      </c>
      <c r="D165" t="s">
        <v>11</v>
      </c>
      <c r="E165" t="s">
        <v>103</v>
      </c>
      <c r="F165">
        <v>4</v>
      </c>
      <c r="G165" t="s">
        <v>26</v>
      </c>
      <c r="H165" s="15">
        <v>3360</v>
      </c>
      <c r="I165" t="s">
        <v>19</v>
      </c>
      <c r="J165" t="s">
        <v>15</v>
      </c>
    </row>
    <row r="166" spans="1:10" hidden="1" x14ac:dyDescent="0.45">
      <c r="A166">
        <v>1167</v>
      </c>
      <c r="B166" s="1">
        <v>45721</v>
      </c>
      <c r="C166" t="s">
        <v>35</v>
      </c>
      <c r="D166" t="s">
        <v>16</v>
      </c>
      <c r="E166" t="s">
        <v>37</v>
      </c>
      <c r="F166">
        <v>2</v>
      </c>
      <c r="G166" t="s">
        <v>13</v>
      </c>
      <c r="H166" s="15">
        <v>1560</v>
      </c>
      <c r="I166" t="s">
        <v>19</v>
      </c>
      <c r="J166" t="s">
        <v>20</v>
      </c>
    </row>
    <row r="167" spans="1:10" hidden="1" x14ac:dyDescent="0.45">
      <c r="A167">
        <v>1168</v>
      </c>
      <c r="B167" s="1">
        <v>45845</v>
      </c>
      <c r="C167" t="s">
        <v>28</v>
      </c>
      <c r="D167" t="s">
        <v>11</v>
      </c>
      <c r="E167" t="s">
        <v>81</v>
      </c>
      <c r="F167">
        <v>3</v>
      </c>
      <c r="G167" t="s">
        <v>26</v>
      </c>
      <c r="H167" s="15">
        <v>2310</v>
      </c>
      <c r="I167" t="s">
        <v>14</v>
      </c>
      <c r="J167" t="s">
        <v>15</v>
      </c>
    </row>
    <row r="168" spans="1:10" hidden="1" x14ac:dyDescent="0.45">
      <c r="A168">
        <v>1169</v>
      </c>
      <c r="B168" s="1">
        <v>45659</v>
      </c>
      <c r="C168" t="s">
        <v>10</v>
      </c>
      <c r="D168" t="s">
        <v>16</v>
      </c>
      <c r="E168" t="s">
        <v>27</v>
      </c>
      <c r="F168">
        <v>5</v>
      </c>
      <c r="G168" t="s">
        <v>13</v>
      </c>
      <c r="H168" s="15">
        <v>3200</v>
      </c>
      <c r="I168" t="s">
        <v>29</v>
      </c>
      <c r="J168" t="s">
        <v>20</v>
      </c>
    </row>
    <row r="169" spans="1:10" hidden="1" x14ac:dyDescent="0.45">
      <c r="A169">
        <v>1170</v>
      </c>
      <c r="B169" s="1">
        <v>45802</v>
      </c>
      <c r="C169" t="s">
        <v>28</v>
      </c>
      <c r="D169" t="s">
        <v>24</v>
      </c>
      <c r="E169" t="s">
        <v>60</v>
      </c>
      <c r="F169">
        <v>7</v>
      </c>
      <c r="G169" t="s">
        <v>26</v>
      </c>
      <c r="H169" s="15">
        <v>2750</v>
      </c>
      <c r="I169" t="s">
        <v>29</v>
      </c>
      <c r="J169" t="s">
        <v>15</v>
      </c>
    </row>
    <row r="170" spans="1:10" hidden="1" x14ac:dyDescent="0.45">
      <c r="A170">
        <v>1171</v>
      </c>
      <c r="B170" s="1">
        <v>45782</v>
      </c>
      <c r="C170" t="s">
        <v>28</v>
      </c>
      <c r="D170" t="s">
        <v>11</v>
      </c>
      <c r="E170" t="s">
        <v>118</v>
      </c>
      <c r="F170">
        <v>4</v>
      </c>
      <c r="G170" t="s">
        <v>13</v>
      </c>
      <c r="H170" s="15">
        <v>4070</v>
      </c>
      <c r="I170" t="s">
        <v>29</v>
      </c>
      <c r="J170" t="s">
        <v>20</v>
      </c>
    </row>
    <row r="171" spans="1:10" hidden="1" x14ac:dyDescent="0.45">
      <c r="A171">
        <v>1172</v>
      </c>
      <c r="B171" s="1">
        <v>45660</v>
      </c>
      <c r="C171" t="s">
        <v>35</v>
      </c>
      <c r="D171" t="s">
        <v>24</v>
      </c>
      <c r="E171" t="s">
        <v>48</v>
      </c>
      <c r="F171">
        <v>3</v>
      </c>
      <c r="G171" t="s">
        <v>26</v>
      </c>
      <c r="H171" s="15">
        <v>820</v>
      </c>
      <c r="I171" t="s">
        <v>14</v>
      </c>
      <c r="J171" t="s">
        <v>20</v>
      </c>
    </row>
    <row r="172" spans="1:10" hidden="1" x14ac:dyDescent="0.45">
      <c r="A172">
        <v>1173</v>
      </c>
      <c r="B172" s="1">
        <v>45783</v>
      </c>
      <c r="C172" t="s">
        <v>35</v>
      </c>
      <c r="D172" t="s">
        <v>24</v>
      </c>
      <c r="E172" t="s">
        <v>111</v>
      </c>
      <c r="F172">
        <v>4</v>
      </c>
      <c r="G172" t="s">
        <v>13</v>
      </c>
      <c r="H172" s="15">
        <v>4460</v>
      </c>
      <c r="I172" t="s">
        <v>14</v>
      </c>
      <c r="J172" t="s">
        <v>15</v>
      </c>
    </row>
    <row r="173" spans="1:10" x14ac:dyDescent="0.45">
      <c r="A173">
        <v>1174</v>
      </c>
      <c r="B173" s="1">
        <v>45718</v>
      </c>
      <c r="C173" t="s">
        <v>30</v>
      </c>
      <c r="D173" t="s">
        <v>21</v>
      </c>
      <c r="E173" t="s">
        <v>34</v>
      </c>
      <c r="F173">
        <v>2</v>
      </c>
      <c r="G173" t="s">
        <v>18</v>
      </c>
      <c r="H173" s="15">
        <v>3230</v>
      </c>
      <c r="I173" t="s">
        <v>14</v>
      </c>
      <c r="J173" t="s">
        <v>20</v>
      </c>
    </row>
    <row r="174" spans="1:10" x14ac:dyDescent="0.45">
      <c r="A174">
        <v>1175</v>
      </c>
      <c r="B174" s="1">
        <v>45677</v>
      </c>
      <c r="C174" t="s">
        <v>28</v>
      </c>
      <c r="D174" t="s">
        <v>21</v>
      </c>
      <c r="E174" t="s">
        <v>119</v>
      </c>
      <c r="F174">
        <v>5</v>
      </c>
      <c r="G174" t="s">
        <v>26</v>
      </c>
      <c r="H174" s="15">
        <v>4660</v>
      </c>
      <c r="I174" t="s">
        <v>19</v>
      </c>
      <c r="J174" t="s">
        <v>15</v>
      </c>
    </row>
    <row r="175" spans="1:10" hidden="1" x14ac:dyDescent="0.45">
      <c r="A175">
        <v>1176</v>
      </c>
      <c r="B175" s="1">
        <v>45751</v>
      </c>
      <c r="C175" t="s">
        <v>35</v>
      </c>
      <c r="D175" t="s">
        <v>11</v>
      </c>
      <c r="E175" t="s">
        <v>106</v>
      </c>
      <c r="F175">
        <v>2</v>
      </c>
      <c r="G175" t="s">
        <v>13</v>
      </c>
      <c r="H175" s="15">
        <v>560</v>
      </c>
      <c r="I175" t="s">
        <v>14</v>
      </c>
      <c r="J175" t="s">
        <v>15</v>
      </c>
    </row>
    <row r="176" spans="1:10" hidden="1" x14ac:dyDescent="0.45">
      <c r="A176">
        <v>1177</v>
      </c>
      <c r="B176" s="1">
        <v>45666</v>
      </c>
      <c r="C176" t="s">
        <v>35</v>
      </c>
      <c r="D176" t="s">
        <v>11</v>
      </c>
      <c r="E176" t="s">
        <v>31</v>
      </c>
      <c r="F176">
        <v>4</v>
      </c>
      <c r="G176" t="s">
        <v>18</v>
      </c>
      <c r="H176" s="15">
        <v>4140</v>
      </c>
      <c r="I176" t="s">
        <v>29</v>
      </c>
      <c r="J176" t="s">
        <v>23</v>
      </c>
    </row>
    <row r="177" spans="1:10" hidden="1" x14ac:dyDescent="0.45">
      <c r="A177">
        <v>1178</v>
      </c>
      <c r="B177" s="1">
        <v>45661</v>
      </c>
      <c r="C177" t="s">
        <v>10</v>
      </c>
      <c r="D177" t="s">
        <v>24</v>
      </c>
      <c r="E177" t="s">
        <v>27</v>
      </c>
      <c r="F177">
        <v>6</v>
      </c>
      <c r="G177" t="s">
        <v>13</v>
      </c>
      <c r="H177" s="15">
        <v>3160</v>
      </c>
      <c r="I177" t="s">
        <v>14</v>
      </c>
      <c r="J177" t="s">
        <v>20</v>
      </c>
    </row>
    <row r="178" spans="1:10" hidden="1" x14ac:dyDescent="0.45">
      <c r="A178">
        <v>1179</v>
      </c>
      <c r="B178" s="1">
        <v>45813</v>
      </c>
      <c r="C178" t="s">
        <v>30</v>
      </c>
      <c r="D178" t="s">
        <v>16</v>
      </c>
      <c r="E178" t="s">
        <v>120</v>
      </c>
      <c r="F178">
        <v>2</v>
      </c>
      <c r="G178" t="s">
        <v>26</v>
      </c>
      <c r="H178" s="15">
        <v>2940</v>
      </c>
      <c r="I178" t="s">
        <v>29</v>
      </c>
      <c r="J178" t="s">
        <v>15</v>
      </c>
    </row>
    <row r="179" spans="1:10" hidden="1" x14ac:dyDescent="0.45">
      <c r="A179">
        <v>1180</v>
      </c>
      <c r="B179" s="1">
        <v>45796</v>
      </c>
      <c r="C179" t="s">
        <v>30</v>
      </c>
      <c r="D179" t="s">
        <v>24</v>
      </c>
      <c r="E179" t="s">
        <v>55</v>
      </c>
      <c r="F179">
        <v>5</v>
      </c>
      <c r="G179" t="s">
        <v>13</v>
      </c>
      <c r="H179" s="15">
        <v>3510</v>
      </c>
      <c r="I179" t="s">
        <v>19</v>
      </c>
      <c r="J179" t="s">
        <v>20</v>
      </c>
    </row>
    <row r="180" spans="1:10" x14ac:dyDescent="0.45">
      <c r="A180">
        <v>1181</v>
      </c>
      <c r="B180" s="1">
        <v>45803</v>
      </c>
      <c r="C180" t="s">
        <v>35</v>
      </c>
      <c r="D180" t="s">
        <v>21</v>
      </c>
      <c r="E180" t="s">
        <v>44</v>
      </c>
      <c r="F180">
        <v>3</v>
      </c>
      <c r="G180" t="s">
        <v>18</v>
      </c>
      <c r="H180" s="15">
        <v>1510</v>
      </c>
      <c r="I180" t="s">
        <v>19</v>
      </c>
      <c r="J180" t="s">
        <v>20</v>
      </c>
    </row>
    <row r="181" spans="1:10" x14ac:dyDescent="0.45">
      <c r="A181">
        <v>1182</v>
      </c>
      <c r="B181" s="1">
        <v>45806</v>
      </c>
      <c r="C181" t="s">
        <v>10</v>
      </c>
      <c r="D181" t="s">
        <v>21</v>
      </c>
      <c r="E181" t="s">
        <v>69</v>
      </c>
      <c r="F181">
        <v>7</v>
      </c>
      <c r="G181" t="s">
        <v>26</v>
      </c>
      <c r="H181" s="15">
        <v>4110</v>
      </c>
      <c r="I181" t="s">
        <v>14</v>
      </c>
      <c r="J181" t="s">
        <v>15</v>
      </c>
    </row>
    <row r="182" spans="1:10" hidden="1" x14ac:dyDescent="0.45">
      <c r="A182">
        <v>1183</v>
      </c>
      <c r="B182" s="1">
        <v>45710</v>
      </c>
      <c r="C182" t="s">
        <v>30</v>
      </c>
      <c r="D182" t="s">
        <v>24</v>
      </c>
      <c r="E182" t="s">
        <v>42</v>
      </c>
      <c r="F182">
        <v>3</v>
      </c>
      <c r="G182" t="s">
        <v>26</v>
      </c>
      <c r="H182" s="15">
        <v>4230</v>
      </c>
      <c r="I182" t="s">
        <v>14</v>
      </c>
      <c r="J182" t="s">
        <v>23</v>
      </c>
    </row>
    <row r="183" spans="1:10" x14ac:dyDescent="0.45">
      <c r="A183">
        <v>1184</v>
      </c>
      <c r="B183" s="1">
        <v>45804</v>
      </c>
      <c r="C183" t="s">
        <v>10</v>
      </c>
      <c r="D183" t="s">
        <v>21</v>
      </c>
      <c r="E183" t="s">
        <v>68</v>
      </c>
      <c r="F183">
        <v>1</v>
      </c>
      <c r="G183" t="s">
        <v>13</v>
      </c>
      <c r="H183" s="15">
        <v>4820</v>
      </c>
      <c r="I183" t="s">
        <v>29</v>
      </c>
      <c r="J183" t="s">
        <v>15</v>
      </c>
    </row>
    <row r="184" spans="1:10" hidden="1" x14ac:dyDescent="0.45">
      <c r="A184">
        <v>1185</v>
      </c>
      <c r="B184" s="1">
        <v>45749</v>
      </c>
      <c r="C184" t="s">
        <v>35</v>
      </c>
      <c r="D184" t="s">
        <v>16</v>
      </c>
      <c r="E184" t="s">
        <v>69</v>
      </c>
      <c r="F184">
        <v>2</v>
      </c>
      <c r="G184" t="s">
        <v>26</v>
      </c>
      <c r="H184" s="15">
        <v>4010</v>
      </c>
      <c r="I184" t="s">
        <v>29</v>
      </c>
      <c r="J184" t="s">
        <v>15</v>
      </c>
    </row>
    <row r="185" spans="1:10" hidden="1" x14ac:dyDescent="0.45">
      <c r="A185">
        <v>1186</v>
      </c>
      <c r="B185" s="1">
        <v>45746</v>
      </c>
      <c r="C185" t="s">
        <v>30</v>
      </c>
      <c r="D185" t="s">
        <v>24</v>
      </c>
      <c r="E185" t="s">
        <v>38</v>
      </c>
      <c r="F185">
        <v>5</v>
      </c>
      <c r="G185" t="s">
        <v>18</v>
      </c>
      <c r="H185" s="15">
        <v>4720</v>
      </c>
      <c r="I185" t="s">
        <v>14</v>
      </c>
      <c r="J185" t="s">
        <v>20</v>
      </c>
    </row>
    <row r="186" spans="1:10" hidden="1" x14ac:dyDescent="0.45">
      <c r="A186">
        <v>1187</v>
      </c>
      <c r="B186" s="1">
        <v>45773</v>
      </c>
      <c r="C186" t="s">
        <v>28</v>
      </c>
      <c r="D186" t="s">
        <v>11</v>
      </c>
      <c r="E186" t="s">
        <v>53</v>
      </c>
      <c r="F186">
        <v>5</v>
      </c>
      <c r="G186" t="s">
        <v>13</v>
      </c>
      <c r="H186" s="15">
        <v>3620</v>
      </c>
      <c r="I186" t="s">
        <v>29</v>
      </c>
      <c r="J186" t="s">
        <v>23</v>
      </c>
    </row>
    <row r="187" spans="1:10" hidden="1" x14ac:dyDescent="0.45">
      <c r="A187">
        <v>1188</v>
      </c>
      <c r="B187" s="1">
        <v>45770</v>
      </c>
      <c r="C187" t="s">
        <v>35</v>
      </c>
      <c r="D187" t="s">
        <v>24</v>
      </c>
      <c r="E187" t="s">
        <v>121</v>
      </c>
      <c r="F187">
        <v>7</v>
      </c>
      <c r="G187" t="s">
        <v>26</v>
      </c>
      <c r="H187" s="15">
        <v>920</v>
      </c>
      <c r="I187" t="s">
        <v>29</v>
      </c>
      <c r="J187" t="s">
        <v>23</v>
      </c>
    </row>
    <row r="188" spans="1:10" hidden="1" x14ac:dyDescent="0.45">
      <c r="A188">
        <v>1189</v>
      </c>
      <c r="B188" s="1">
        <v>45659</v>
      </c>
      <c r="C188" t="s">
        <v>28</v>
      </c>
      <c r="D188" t="s">
        <v>11</v>
      </c>
      <c r="E188" t="s">
        <v>52</v>
      </c>
      <c r="F188">
        <v>4</v>
      </c>
      <c r="G188" t="s">
        <v>26</v>
      </c>
      <c r="H188" s="15">
        <v>1460</v>
      </c>
      <c r="I188" t="s">
        <v>14</v>
      </c>
      <c r="J188" t="s">
        <v>15</v>
      </c>
    </row>
    <row r="189" spans="1:10" hidden="1" x14ac:dyDescent="0.45">
      <c r="A189">
        <v>1190</v>
      </c>
      <c r="B189" s="1">
        <v>45665</v>
      </c>
      <c r="C189" t="s">
        <v>10</v>
      </c>
      <c r="D189" t="s">
        <v>16</v>
      </c>
      <c r="E189" t="s">
        <v>66</v>
      </c>
      <c r="F189">
        <v>7</v>
      </c>
      <c r="G189" t="s">
        <v>13</v>
      </c>
      <c r="H189" s="15">
        <v>1110</v>
      </c>
      <c r="I189" t="s">
        <v>29</v>
      </c>
      <c r="J189" t="s">
        <v>15</v>
      </c>
    </row>
    <row r="190" spans="1:10" hidden="1" x14ac:dyDescent="0.45">
      <c r="A190">
        <v>1191</v>
      </c>
      <c r="B190" s="1">
        <v>45720</v>
      </c>
      <c r="C190" t="s">
        <v>10</v>
      </c>
      <c r="D190" t="s">
        <v>16</v>
      </c>
      <c r="E190" t="s">
        <v>45</v>
      </c>
      <c r="F190">
        <v>4</v>
      </c>
      <c r="G190" t="s">
        <v>26</v>
      </c>
      <c r="H190" s="15">
        <v>2890</v>
      </c>
      <c r="I190" t="s">
        <v>29</v>
      </c>
      <c r="J190" t="s">
        <v>20</v>
      </c>
    </row>
    <row r="191" spans="1:10" hidden="1" x14ac:dyDescent="0.45">
      <c r="A191">
        <v>1192</v>
      </c>
      <c r="B191" s="1">
        <v>45673</v>
      </c>
      <c r="C191" t="s">
        <v>30</v>
      </c>
      <c r="D191" t="s">
        <v>16</v>
      </c>
      <c r="E191" t="s">
        <v>55</v>
      </c>
      <c r="F191">
        <v>3</v>
      </c>
      <c r="G191" t="s">
        <v>18</v>
      </c>
      <c r="H191" s="15">
        <v>2180</v>
      </c>
      <c r="I191" t="s">
        <v>14</v>
      </c>
      <c r="J191" t="s">
        <v>23</v>
      </c>
    </row>
    <row r="192" spans="1:10" hidden="1" x14ac:dyDescent="0.45">
      <c r="A192">
        <v>1193</v>
      </c>
      <c r="B192" s="1">
        <v>45786</v>
      </c>
      <c r="C192" t="s">
        <v>10</v>
      </c>
      <c r="D192" t="s">
        <v>16</v>
      </c>
      <c r="E192" t="s">
        <v>122</v>
      </c>
      <c r="F192">
        <v>2</v>
      </c>
      <c r="G192" t="s">
        <v>26</v>
      </c>
      <c r="H192" s="15">
        <v>2060</v>
      </c>
      <c r="I192" t="s">
        <v>29</v>
      </c>
      <c r="J192" t="s">
        <v>15</v>
      </c>
    </row>
    <row r="193" spans="1:10" hidden="1" x14ac:dyDescent="0.45">
      <c r="A193">
        <v>1194</v>
      </c>
      <c r="B193" s="1">
        <v>45708</v>
      </c>
      <c r="C193" t="s">
        <v>30</v>
      </c>
      <c r="D193" t="s">
        <v>24</v>
      </c>
      <c r="E193" t="s">
        <v>123</v>
      </c>
      <c r="F193">
        <v>4</v>
      </c>
      <c r="G193" t="s">
        <v>26</v>
      </c>
      <c r="H193" s="15">
        <v>4920</v>
      </c>
      <c r="I193" t="s">
        <v>29</v>
      </c>
      <c r="J193" t="s">
        <v>15</v>
      </c>
    </row>
    <row r="194" spans="1:10" hidden="1" x14ac:dyDescent="0.45">
      <c r="A194">
        <v>1195</v>
      </c>
      <c r="B194" s="1">
        <v>45855</v>
      </c>
      <c r="C194" t="s">
        <v>28</v>
      </c>
      <c r="D194" t="s">
        <v>24</v>
      </c>
      <c r="E194" t="s">
        <v>41</v>
      </c>
      <c r="F194">
        <v>2</v>
      </c>
      <c r="G194" t="s">
        <v>26</v>
      </c>
      <c r="H194" s="15">
        <v>4740</v>
      </c>
      <c r="I194" t="s">
        <v>29</v>
      </c>
      <c r="J194" t="s">
        <v>15</v>
      </c>
    </row>
    <row r="195" spans="1:10" hidden="1" x14ac:dyDescent="0.45">
      <c r="A195">
        <v>1196</v>
      </c>
      <c r="B195" s="1">
        <v>45717</v>
      </c>
      <c r="C195" t="s">
        <v>10</v>
      </c>
      <c r="D195" t="s">
        <v>11</v>
      </c>
      <c r="E195" t="s">
        <v>89</v>
      </c>
      <c r="F195">
        <v>1</v>
      </c>
      <c r="G195" t="s">
        <v>26</v>
      </c>
      <c r="H195" s="15">
        <v>700</v>
      </c>
      <c r="I195" t="s">
        <v>19</v>
      </c>
      <c r="J195" t="s">
        <v>20</v>
      </c>
    </row>
    <row r="196" spans="1:10" x14ac:dyDescent="0.45">
      <c r="A196">
        <v>1197</v>
      </c>
      <c r="B196" s="1">
        <v>45702</v>
      </c>
      <c r="C196" t="s">
        <v>30</v>
      </c>
      <c r="D196" t="s">
        <v>21</v>
      </c>
      <c r="E196" t="s">
        <v>64</v>
      </c>
      <c r="F196">
        <v>3</v>
      </c>
      <c r="G196" t="s">
        <v>18</v>
      </c>
      <c r="H196" s="15">
        <v>1820</v>
      </c>
      <c r="I196" t="s">
        <v>14</v>
      </c>
      <c r="J196" t="s">
        <v>20</v>
      </c>
    </row>
    <row r="197" spans="1:10" hidden="1" x14ac:dyDescent="0.45">
      <c r="A197">
        <v>1198</v>
      </c>
      <c r="B197" s="1">
        <v>45720</v>
      </c>
      <c r="C197" t="s">
        <v>28</v>
      </c>
      <c r="D197" t="s">
        <v>11</v>
      </c>
      <c r="E197" t="s">
        <v>78</v>
      </c>
      <c r="F197">
        <v>7</v>
      </c>
      <c r="G197" t="s">
        <v>18</v>
      </c>
      <c r="H197" s="15">
        <v>2530</v>
      </c>
      <c r="I197" t="s">
        <v>29</v>
      </c>
      <c r="J197" t="s">
        <v>15</v>
      </c>
    </row>
    <row r="198" spans="1:10" hidden="1" x14ac:dyDescent="0.45">
      <c r="A198">
        <v>1199</v>
      </c>
      <c r="B198" s="1">
        <v>45725</v>
      </c>
      <c r="C198" t="s">
        <v>28</v>
      </c>
      <c r="D198" t="s">
        <v>11</v>
      </c>
      <c r="E198" t="s">
        <v>63</v>
      </c>
      <c r="F198">
        <v>2</v>
      </c>
      <c r="G198" t="s">
        <v>13</v>
      </c>
      <c r="H198" s="15">
        <v>1900</v>
      </c>
      <c r="I198" t="s">
        <v>14</v>
      </c>
      <c r="J198" t="s">
        <v>15</v>
      </c>
    </row>
    <row r="199" spans="1:10" hidden="1" x14ac:dyDescent="0.45">
      <c r="A199">
        <v>1200</v>
      </c>
      <c r="B199" s="1">
        <v>45786</v>
      </c>
      <c r="C199" t="s">
        <v>35</v>
      </c>
      <c r="D199" t="s">
        <v>24</v>
      </c>
      <c r="E199" t="s">
        <v>83</v>
      </c>
      <c r="F199">
        <v>3</v>
      </c>
      <c r="G199" t="s">
        <v>26</v>
      </c>
      <c r="H199" s="15">
        <v>570</v>
      </c>
      <c r="I199" t="s">
        <v>19</v>
      </c>
      <c r="J199" t="s">
        <v>15</v>
      </c>
    </row>
    <row r="200" spans="1:10" hidden="1" x14ac:dyDescent="0.45">
      <c r="A200">
        <v>1201</v>
      </c>
      <c r="B200" s="1">
        <v>45737</v>
      </c>
      <c r="C200" t="s">
        <v>30</v>
      </c>
      <c r="D200" t="s">
        <v>16</v>
      </c>
      <c r="E200" t="s">
        <v>60</v>
      </c>
      <c r="F200">
        <v>7</v>
      </c>
      <c r="G200" t="s">
        <v>13</v>
      </c>
      <c r="H200" s="15">
        <v>1560</v>
      </c>
      <c r="I200" t="s">
        <v>29</v>
      </c>
      <c r="J200" t="s">
        <v>20</v>
      </c>
    </row>
    <row r="201" spans="1:10" x14ac:dyDescent="0.45">
      <c r="A201">
        <v>1202</v>
      </c>
      <c r="B201" s="1">
        <v>45826</v>
      </c>
      <c r="C201" t="s">
        <v>30</v>
      </c>
      <c r="D201" t="s">
        <v>21</v>
      </c>
      <c r="E201" t="s">
        <v>17</v>
      </c>
      <c r="F201">
        <v>5</v>
      </c>
      <c r="G201" t="s">
        <v>26</v>
      </c>
      <c r="H201" s="15">
        <v>4170</v>
      </c>
      <c r="I201" t="s">
        <v>14</v>
      </c>
      <c r="J201" t="s">
        <v>20</v>
      </c>
    </row>
    <row r="202" spans="1:10" hidden="1" x14ac:dyDescent="0.45">
      <c r="A202">
        <v>1203</v>
      </c>
      <c r="B202" s="1">
        <v>45663</v>
      </c>
      <c r="C202" t="s">
        <v>30</v>
      </c>
      <c r="D202" t="s">
        <v>11</v>
      </c>
      <c r="E202" t="s">
        <v>109</v>
      </c>
      <c r="F202">
        <v>7</v>
      </c>
      <c r="G202" t="s">
        <v>13</v>
      </c>
      <c r="H202" s="15">
        <v>2460</v>
      </c>
      <c r="I202" t="s">
        <v>14</v>
      </c>
      <c r="J202" t="s">
        <v>15</v>
      </c>
    </row>
    <row r="203" spans="1:10" hidden="1" x14ac:dyDescent="0.45">
      <c r="A203">
        <v>1204</v>
      </c>
      <c r="B203" s="1">
        <v>45768</v>
      </c>
      <c r="C203" t="s">
        <v>10</v>
      </c>
      <c r="D203" t="s">
        <v>24</v>
      </c>
      <c r="E203" t="s">
        <v>114</v>
      </c>
      <c r="F203">
        <v>6</v>
      </c>
      <c r="G203" t="s">
        <v>26</v>
      </c>
      <c r="H203" s="15">
        <v>4740</v>
      </c>
      <c r="I203" t="s">
        <v>14</v>
      </c>
      <c r="J203" t="s">
        <v>15</v>
      </c>
    </row>
    <row r="204" spans="1:10" x14ac:dyDescent="0.45">
      <c r="A204">
        <v>1205</v>
      </c>
      <c r="B204" s="1">
        <v>45853</v>
      </c>
      <c r="C204" t="s">
        <v>30</v>
      </c>
      <c r="D204" t="s">
        <v>21</v>
      </c>
      <c r="E204" t="s">
        <v>101</v>
      </c>
      <c r="F204">
        <v>7</v>
      </c>
      <c r="G204" t="s">
        <v>18</v>
      </c>
      <c r="H204" s="15">
        <v>2700</v>
      </c>
      <c r="I204" t="s">
        <v>14</v>
      </c>
      <c r="J204" t="s">
        <v>20</v>
      </c>
    </row>
    <row r="205" spans="1:10" x14ac:dyDescent="0.45">
      <c r="A205">
        <v>1206</v>
      </c>
      <c r="B205" s="1">
        <v>45740</v>
      </c>
      <c r="C205" t="s">
        <v>30</v>
      </c>
      <c r="D205" t="s">
        <v>21</v>
      </c>
      <c r="E205" t="s">
        <v>113</v>
      </c>
      <c r="F205">
        <v>7</v>
      </c>
      <c r="G205" t="s">
        <v>13</v>
      </c>
      <c r="H205" s="15">
        <v>4270</v>
      </c>
      <c r="I205" t="s">
        <v>14</v>
      </c>
      <c r="J205" t="s">
        <v>23</v>
      </c>
    </row>
    <row r="206" spans="1:10" hidden="1" x14ac:dyDescent="0.45">
      <c r="A206">
        <v>1207</v>
      </c>
      <c r="B206" s="1">
        <v>45721</v>
      </c>
      <c r="C206" t="s">
        <v>30</v>
      </c>
      <c r="D206" t="s">
        <v>11</v>
      </c>
      <c r="E206" t="s">
        <v>88</v>
      </c>
      <c r="F206">
        <v>4</v>
      </c>
      <c r="G206" t="s">
        <v>18</v>
      </c>
      <c r="H206" s="15">
        <v>1900</v>
      </c>
      <c r="I206" t="s">
        <v>29</v>
      </c>
      <c r="J206" t="s">
        <v>15</v>
      </c>
    </row>
    <row r="207" spans="1:10" hidden="1" x14ac:dyDescent="0.45">
      <c r="A207">
        <v>1208</v>
      </c>
      <c r="B207" s="1">
        <v>45819</v>
      </c>
      <c r="C207" t="s">
        <v>28</v>
      </c>
      <c r="D207" t="s">
        <v>24</v>
      </c>
      <c r="E207" t="s">
        <v>31</v>
      </c>
      <c r="F207">
        <v>7</v>
      </c>
      <c r="G207" t="s">
        <v>18</v>
      </c>
      <c r="H207" s="15">
        <v>3400</v>
      </c>
      <c r="I207" t="s">
        <v>14</v>
      </c>
      <c r="J207" t="s">
        <v>15</v>
      </c>
    </row>
    <row r="208" spans="1:10" hidden="1" x14ac:dyDescent="0.45">
      <c r="A208">
        <v>1209</v>
      </c>
      <c r="B208" s="1">
        <v>45728</v>
      </c>
      <c r="C208" t="s">
        <v>10</v>
      </c>
      <c r="D208" t="s">
        <v>24</v>
      </c>
      <c r="E208" t="s">
        <v>113</v>
      </c>
      <c r="F208">
        <v>2</v>
      </c>
      <c r="G208" t="s">
        <v>26</v>
      </c>
      <c r="H208" s="15">
        <v>1690</v>
      </c>
      <c r="I208" t="s">
        <v>19</v>
      </c>
      <c r="J208" t="s">
        <v>20</v>
      </c>
    </row>
    <row r="209" spans="1:10" hidden="1" x14ac:dyDescent="0.45">
      <c r="A209">
        <v>1210</v>
      </c>
      <c r="B209" s="1">
        <v>45813</v>
      </c>
      <c r="C209" t="s">
        <v>35</v>
      </c>
      <c r="D209" t="s">
        <v>24</v>
      </c>
      <c r="E209" t="s">
        <v>62</v>
      </c>
      <c r="F209">
        <v>5</v>
      </c>
      <c r="G209" t="s">
        <v>18</v>
      </c>
      <c r="H209" s="15">
        <v>2660</v>
      </c>
      <c r="I209" t="s">
        <v>14</v>
      </c>
      <c r="J209" t="s">
        <v>15</v>
      </c>
    </row>
    <row r="210" spans="1:10" x14ac:dyDescent="0.45">
      <c r="A210">
        <v>1211</v>
      </c>
      <c r="B210" s="1">
        <v>45802</v>
      </c>
      <c r="C210" t="s">
        <v>35</v>
      </c>
      <c r="D210" t="s">
        <v>21</v>
      </c>
      <c r="E210" t="s">
        <v>17</v>
      </c>
      <c r="F210">
        <v>7</v>
      </c>
      <c r="G210" t="s">
        <v>13</v>
      </c>
      <c r="H210" s="15">
        <v>600</v>
      </c>
      <c r="I210" t="s">
        <v>19</v>
      </c>
      <c r="J210" t="s">
        <v>23</v>
      </c>
    </row>
    <row r="211" spans="1:10" hidden="1" x14ac:dyDescent="0.45">
      <c r="A211">
        <v>1212</v>
      </c>
      <c r="B211" s="1">
        <v>45811</v>
      </c>
      <c r="C211" t="s">
        <v>35</v>
      </c>
      <c r="D211" t="s">
        <v>16</v>
      </c>
      <c r="E211" t="s">
        <v>115</v>
      </c>
      <c r="F211">
        <v>4</v>
      </c>
      <c r="G211" t="s">
        <v>26</v>
      </c>
      <c r="H211" s="15">
        <v>950</v>
      </c>
      <c r="I211" t="s">
        <v>14</v>
      </c>
      <c r="J211" t="s">
        <v>23</v>
      </c>
    </row>
    <row r="212" spans="1:10" hidden="1" x14ac:dyDescent="0.45">
      <c r="A212">
        <v>1213</v>
      </c>
      <c r="B212" s="1">
        <v>45741</v>
      </c>
      <c r="C212" t="s">
        <v>10</v>
      </c>
      <c r="D212" t="s">
        <v>24</v>
      </c>
      <c r="E212" t="s">
        <v>118</v>
      </c>
      <c r="F212">
        <v>5</v>
      </c>
      <c r="G212" t="s">
        <v>26</v>
      </c>
      <c r="H212" s="15">
        <v>2940</v>
      </c>
      <c r="I212" t="s">
        <v>14</v>
      </c>
      <c r="J212" t="s">
        <v>15</v>
      </c>
    </row>
    <row r="213" spans="1:10" x14ac:dyDescent="0.45">
      <c r="A213">
        <v>1214</v>
      </c>
      <c r="B213" s="1">
        <v>45796</v>
      </c>
      <c r="C213" t="s">
        <v>10</v>
      </c>
      <c r="D213" t="s">
        <v>21</v>
      </c>
      <c r="E213" t="s">
        <v>40</v>
      </c>
      <c r="F213">
        <v>2</v>
      </c>
      <c r="G213" t="s">
        <v>18</v>
      </c>
      <c r="H213" s="15">
        <v>1420</v>
      </c>
      <c r="I213" t="s">
        <v>29</v>
      </c>
      <c r="J213" t="s">
        <v>15</v>
      </c>
    </row>
    <row r="214" spans="1:10" x14ac:dyDescent="0.45">
      <c r="A214">
        <v>1215</v>
      </c>
      <c r="B214" s="1">
        <v>45824</v>
      </c>
      <c r="C214" t="s">
        <v>28</v>
      </c>
      <c r="D214" t="s">
        <v>21</v>
      </c>
      <c r="E214" t="s">
        <v>84</v>
      </c>
      <c r="F214">
        <v>7</v>
      </c>
      <c r="G214" t="s">
        <v>18</v>
      </c>
      <c r="H214" s="15">
        <v>4990</v>
      </c>
      <c r="I214" t="s">
        <v>29</v>
      </c>
      <c r="J214" t="s">
        <v>23</v>
      </c>
    </row>
    <row r="215" spans="1:10" x14ac:dyDescent="0.45">
      <c r="A215">
        <v>1216</v>
      </c>
      <c r="B215" s="1">
        <v>45682</v>
      </c>
      <c r="C215" t="s">
        <v>30</v>
      </c>
      <c r="D215" t="s">
        <v>21</v>
      </c>
      <c r="E215" t="s">
        <v>124</v>
      </c>
      <c r="F215">
        <v>7</v>
      </c>
      <c r="G215" t="s">
        <v>13</v>
      </c>
      <c r="H215" s="15">
        <v>2100</v>
      </c>
      <c r="I215" t="s">
        <v>19</v>
      </c>
      <c r="J215" t="s">
        <v>20</v>
      </c>
    </row>
    <row r="216" spans="1:10" hidden="1" x14ac:dyDescent="0.45">
      <c r="A216">
        <v>1217</v>
      </c>
      <c r="B216" s="1">
        <v>45810</v>
      </c>
      <c r="C216" t="s">
        <v>30</v>
      </c>
      <c r="D216" t="s">
        <v>11</v>
      </c>
      <c r="E216" t="s">
        <v>125</v>
      </c>
      <c r="F216">
        <v>2</v>
      </c>
      <c r="G216" t="s">
        <v>18</v>
      </c>
      <c r="H216" s="15">
        <v>3870</v>
      </c>
      <c r="I216" t="s">
        <v>19</v>
      </c>
      <c r="J216" t="s">
        <v>20</v>
      </c>
    </row>
    <row r="217" spans="1:10" hidden="1" x14ac:dyDescent="0.45">
      <c r="A217">
        <v>1218</v>
      </c>
      <c r="B217" s="1">
        <v>45730</v>
      </c>
      <c r="C217" t="s">
        <v>28</v>
      </c>
      <c r="D217" t="s">
        <v>24</v>
      </c>
      <c r="E217" t="s">
        <v>12</v>
      </c>
      <c r="F217">
        <v>1</v>
      </c>
      <c r="G217" t="s">
        <v>26</v>
      </c>
      <c r="H217" s="15">
        <v>990</v>
      </c>
      <c r="I217" t="s">
        <v>29</v>
      </c>
      <c r="J217" t="s">
        <v>23</v>
      </c>
    </row>
    <row r="218" spans="1:10" x14ac:dyDescent="0.45">
      <c r="A218">
        <v>1219</v>
      </c>
      <c r="B218" s="1">
        <v>45830</v>
      </c>
      <c r="C218" t="s">
        <v>10</v>
      </c>
      <c r="D218" t="s">
        <v>21</v>
      </c>
      <c r="E218" t="s">
        <v>27</v>
      </c>
      <c r="F218">
        <v>3</v>
      </c>
      <c r="G218" t="s">
        <v>26</v>
      </c>
      <c r="H218" s="15">
        <v>1650</v>
      </c>
      <c r="I218" t="s">
        <v>29</v>
      </c>
      <c r="J218" t="s">
        <v>20</v>
      </c>
    </row>
    <row r="219" spans="1:10" hidden="1" x14ac:dyDescent="0.45">
      <c r="A219">
        <v>1220</v>
      </c>
      <c r="B219" s="1">
        <v>45790</v>
      </c>
      <c r="C219" t="s">
        <v>35</v>
      </c>
      <c r="D219" t="s">
        <v>11</v>
      </c>
      <c r="E219" t="s">
        <v>126</v>
      </c>
      <c r="F219">
        <v>2</v>
      </c>
      <c r="G219" t="s">
        <v>13</v>
      </c>
      <c r="H219" s="15">
        <v>4080</v>
      </c>
      <c r="I219" t="s">
        <v>29</v>
      </c>
      <c r="J219" t="s">
        <v>20</v>
      </c>
    </row>
    <row r="220" spans="1:10" hidden="1" x14ac:dyDescent="0.45">
      <c r="A220">
        <v>1221</v>
      </c>
      <c r="B220" s="1">
        <v>45804</v>
      </c>
      <c r="C220" t="s">
        <v>10</v>
      </c>
      <c r="D220" t="s">
        <v>16</v>
      </c>
      <c r="E220" t="s">
        <v>101</v>
      </c>
      <c r="F220">
        <v>4</v>
      </c>
      <c r="G220" t="s">
        <v>26</v>
      </c>
      <c r="H220" s="15">
        <v>940</v>
      </c>
      <c r="I220" t="s">
        <v>29</v>
      </c>
      <c r="J220" t="s">
        <v>20</v>
      </c>
    </row>
    <row r="221" spans="1:10" hidden="1" x14ac:dyDescent="0.45">
      <c r="A221">
        <v>1222</v>
      </c>
      <c r="B221" s="1">
        <v>45809</v>
      </c>
      <c r="C221" t="s">
        <v>30</v>
      </c>
      <c r="D221" t="s">
        <v>24</v>
      </c>
      <c r="E221" t="s">
        <v>91</v>
      </c>
      <c r="F221">
        <v>6</v>
      </c>
      <c r="G221" t="s">
        <v>18</v>
      </c>
      <c r="H221" s="15">
        <v>3190</v>
      </c>
      <c r="I221" t="s">
        <v>14</v>
      </c>
      <c r="J221" t="s">
        <v>15</v>
      </c>
    </row>
    <row r="222" spans="1:10" hidden="1" x14ac:dyDescent="0.45">
      <c r="A222">
        <v>1223</v>
      </c>
      <c r="B222" s="1">
        <v>45846</v>
      </c>
      <c r="C222" t="s">
        <v>30</v>
      </c>
      <c r="D222" t="s">
        <v>16</v>
      </c>
      <c r="E222" t="s">
        <v>50</v>
      </c>
      <c r="F222">
        <v>6</v>
      </c>
      <c r="G222" t="s">
        <v>26</v>
      </c>
      <c r="H222" s="15">
        <v>1660</v>
      </c>
      <c r="I222" t="s">
        <v>19</v>
      </c>
      <c r="J222" t="s">
        <v>23</v>
      </c>
    </row>
    <row r="223" spans="1:10" x14ac:dyDescent="0.45">
      <c r="A223">
        <v>1224</v>
      </c>
      <c r="B223" s="1">
        <v>45766</v>
      </c>
      <c r="C223" t="s">
        <v>28</v>
      </c>
      <c r="D223" t="s">
        <v>21</v>
      </c>
      <c r="E223" t="s">
        <v>33</v>
      </c>
      <c r="F223">
        <v>3</v>
      </c>
      <c r="G223" t="s">
        <v>26</v>
      </c>
      <c r="H223" s="15">
        <v>4350</v>
      </c>
      <c r="I223" t="s">
        <v>14</v>
      </c>
      <c r="J223" t="s">
        <v>23</v>
      </c>
    </row>
    <row r="224" spans="1:10" hidden="1" x14ac:dyDescent="0.45">
      <c r="A224">
        <v>1225</v>
      </c>
      <c r="B224" s="1">
        <v>45811</v>
      </c>
      <c r="C224" t="s">
        <v>35</v>
      </c>
      <c r="D224" t="s">
        <v>11</v>
      </c>
      <c r="E224" t="s">
        <v>127</v>
      </c>
      <c r="F224">
        <v>2</v>
      </c>
      <c r="G224" t="s">
        <v>26</v>
      </c>
      <c r="H224" s="15">
        <v>2480</v>
      </c>
      <c r="I224" t="s">
        <v>14</v>
      </c>
      <c r="J224" t="s">
        <v>15</v>
      </c>
    </row>
    <row r="225" spans="1:10" hidden="1" x14ac:dyDescent="0.45">
      <c r="A225">
        <v>1226</v>
      </c>
      <c r="B225" s="1">
        <v>45838</v>
      </c>
      <c r="C225" t="s">
        <v>28</v>
      </c>
      <c r="D225" t="s">
        <v>16</v>
      </c>
      <c r="E225" t="s">
        <v>128</v>
      </c>
      <c r="F225">
        <v>2</v>
      </c>
      <c r="G225" t="s">
        <v>18</v>
      </c>
      <c r="H225" s="15">
        <v>3220</v>
      </c>
      <c r="I225" t="s">
        <v>29</v>
      </c>
      <c r="J225" t="s">
        <v>15</v>
      </c>
    </row>
    <row r="226" spans="1:10" x14ac:dyDescent="0.45">
      <c r="A226">
        <v>1227</v>
      </c>
      <c r="B226" s="1">
        <v>45788</v>
      </c>
      <c r="C226" t="s">
        <v>28</v>
      </c>
      <c r="D226" t="s">
        <v>21</v>
      </c>
      <c r="E226" t="s">
        <v>73</v>
      </c>
      <c r="F226">
        <v>4</v>
      </c>
      <c r="G226" t="s">
        <v>13</v>
      </c>
      <c r="H226" s="15">
        <v>1940</v>
      </c>
      <c r="I226" t="s">
        <v>29</v>
      </c>
      <c r="J226" t="s">
        <v>23</v>
      </c>
    </row>
    <row r="227" spans="1:10" hidden="1" x14ac:dyDescent="0.45">
      <c r="A227">
        <v>1228</v>
      </c>
      <c r="B227" s="1">
        <v>45758</v>
      </c>
      <c r="C227" t="s">
        <v>35</v>
      </c>
      <c r="D227" t="s">
        <v>16</v>
      </c>
      <c r="E227" t="s">
        <v>70</v>
      </c>
      <c r="F227">
        <v>7</v>
      </c>
      <c r="G227" t="s">
        <v>18</v>
      </c>
      <c r="H227" s="15">
        <v>4380</v>
      </c>
      <c r="I227" t="s">
        <v>19</v>
      </c>
      <c r="J227" t="s">
        <v>20</v>
      </c>
    </row>
    <row r="228" spans="1:10" hidden="1" x14ac:dyDescent="0.45">
      <c r="A228">
        <v>1229</v>
      </c>
      <c r="B228" s="1">
        <v>45857</v>
      </c>
      <c r="C228" t="s">
        <v>30</v>
      </c>
      <c r="D228" t="s">
        <v>24</v>
      </c>
      <c r="E228" t="s">
        <v>44</v>
      </c>
      <c r="F228">
        <v>2</v>
      </c>
      <c r="G228" t="s">
        <v>18</v>
      </c>
      <c r="H228" s="15">
        <v>1090</v>
      </c>
      <c r="I228" t="s">
        <v>14</v>
      </c>
      <c r="J228" t="s">
        <v>23</v>
      </c>
    </row>
    <row r="229" spans="1:10" hidden="1" x14ac:dyDescent="0.45">
      <c r="A229">
        <v>1230</v>
      </c>
      <c r="B229" s="1">
        <v>45701</v>
      </c>
      <c r="C229" t="s">
        <v>10</v>
      </c>
      <c r="D229" t="s">
        <v>11</v>
      </c>
      <c r="E229" t="s">
        <v>42</v>
      </c>
      <c r="F229">
        <v>2</v>
      </c>
      <c r="G229" t="s">
        <v>18</v>
      </c>
      <c r="H229" s="15">
        <v>1390</v>
      </c>
      <c r="I229" t="s">
        <v>29</v>
      </c>
      <c r="J229" t="s">
        <v>23</v>
      </c>
    </row>
    <row r="230" spans="1:10" hidden="1" x14ac:dyDescent="0.45">
      <c r="A230">
        <v>1231</v>
      </c>
      <c r="B230" s="1">
        <v>45716</v>
      </c>
      <c r="C230" t="s">
        <v>10</v>
      </c>
      <c r="D230" t="s">
        <v>24</v>
      </c>
      <c r="E230" t="s">
        <v>45</v>
      </c>
      <c r="F230">
        <v>4</v>
      </c>
      <c r="G230" t="s">
        <v>13</v>
      </c>
      <c r="H230" s="15">
        <v>1280</v>
      </c>
      <c r="I230" t="s">
        <v>19</v>
      </c>
      <c r="J230" t="s">
        <v>20</v>
      </c>
    </row>
    <row r="231" spans="1:10" hidden="1" x14ac:dyDescent="0.45">
      <c r="A231">
        <v>1232</v>
      </c>
      <c r="B231" s="1">
        <v>45700</v>
      </c>
      <c r="C231" t="s">
        <v>28</v>
      </c>
      <c r="D231" t="s">
        <v>16</v>
      </c>
      <c r="E231" t="s">
        <v>88</v>
      </c>
      <c r="F231">
        <v>7</v>
      </c>
      <c r="G231" t="s">
        <v>18</v>
      </c>
      <c r="H231" s="15">
        <v>3780</v>
      </c>
      <c r="I231" t="s">
        <v>19</v>
      </c>
      <c r="J231" t="s">
        <v>23</v>
      </c>
    </row>
    <row r="232" spans="1:10" hidden="1" x14ac:dyDescent="0.45">
      <c r="A232">
        <v>1233</v>
      </c>
      <c r="B232" s="1">
        <v>45691</v>
      </c>
      <c r="C232" t="s">
        <v>28</v>
      </c>
      <c r="D232" t="s">
        <v>16</v>
      </c>
      <c r="E232" t="s">
        <v>25</v>
      </c>
      <c r="F232">
        <v>2</v>
      </c>
      <c r="G232" t="s">
        <v>26</v>
      </c>
      <c r="H232" s="15">
        <v>2310</v>
      </c>
      <c r="I232" t="s">
        <v>14</v>
      </c>
      <c r="J232" t="s">
        <v>20</v>
      </c>
    </row>
    <row r="233" spans="1:10" x14ac:dyDescent="0.45">
      <c r="A233">
        <v>1234</v>
      </c>
      <c r="B233" s="1">
        <v>45755</v>
      </c>
      <c r="C233" t="s">
        <v>35</v>
      </c>
      <c r="D233" t="s">
        <v>21</v>
      </c>
      <c r="E233" t="s">
        <v>95</v>
      </c>
      <c r="F233">
        <v>5</v>
      </c>
      <c r="G233" t="s">
        <v>13</v>
      </c>
      <c r="H233" s="15">
        <v>900</v>
      </c>
      <c r="I233" t="s">
        <v>29</v>
      </c>
      <c r="J233" t="s">
        <v>15</v>
      </c>
    </row>
    <row r="234" spans="1:10" hidden="1" x14ac:dyDescent="0.45">
      <c r="A234">
        <v>1235</v>
      </c>
      <c r="B234" s="1">
        <v>45659</v>
      </c>
      <c r="C234" t="s">
        <v>30</v>
      </c>
      <c r="D234" t="s">
        <v>24</v>
      </c>
      <c r="E234" t="s">
        <v>129</v>
      </c>
      <c r="F234">
        <v>5</v>
      </c>
      <c r="G234" t="s">
        <v>18</v>
      </c>
      <c r="H234" s="15">
        <v>3010</v>
      </c>
      <c r="I234" t="s">
        <v>19</v>
      </c>
      <c r="J234" t="s">
        <v>15</v>
      </c>
    </row>
    <row r="235" spans="1:10" hidden="1" x14ac:dyDescent="0.45">
      <c r="A235">
        <v>1236</v>
      </c>
      <c r="B235" s="1">
        <v>45710</v>
      </c>
      <c r="C235" t="s">
        <v>28</v>
      </c>
      <c r="D235" t="s">
        <v>24</v>
      </c>
      <c r="E235" t="s">
        <v>83</v>
      </c>
      <c r="F235">
        <v>5</v>
      </c>
      <c r="G235" t="s">
        <v>13</v>
      </c>
      <c r="H235" s="15">
        <v>860</v>
      </c>
      <c r="I235" t="s">
        <v>14</v>
      </c>
      <c r="J235" t="s">
        <v>15</v>
      </c>
    </row>
    <row r="236" spans="1:10" x14ac:dyDescent="0.45">
      <c r="A236">
        <v>1237</v>
      </c>
      <c r="B236" s="1">
        <v>45807</v>
      </c>
      <c r="C236" t="s">
        <v>30</v>
      </c>
      <c r="D236" t="s">
        <v>21</v>
      </c>
      <c r="E236" t="s">
        <v>97</v>
      </c>
      <c r="F236">
        <v>4</v>
      </c>
      <c r="G236" t="s">
        <v>13</v>
      </c>
      <c r="H236" s="15">
        <v>780</v>
      </c>
      <c r="I236" t="s">
        <v>19</v>
      </c>
      <c r="J236" t="s">
        <v>20</v>
      </c>
    </row>
    <row r="237" spans="1:10" hidden="1" x14ac:dyDescent="0.45">
      <c r="A237">
        <v>1238</v>
      </c>
      <c r="B237" s="1">
        <v>45686</v>
      </c>
      <c r="C237" t="s">
        <v>35</v>
      </c>
      <c r="D237" t="s">
        <v>24</v>
      </c>
      <c r="E237" t="s">
        <v>91</v>
      </c>
      <c r="F237">
        <v>5</v>
      </c>
      <c r="G237" t="s">
        <v>18</v>
      </c>
      <c r="H237" s="15">
        <v>4180</v>
      </c>
      <c r="I237" t="s">
        <v>19</v>
      </c>
      <c r="J237" t="s">
        <v>20</v>
      </c>
    </row>
    <row r="238" spans="1:10" x14ac:dyDescent="0.45">
      <c r="A238">
        <v>1239</v>
      </c>
      <c r="B238" s="1">
        <v>45660</v>
      </c>
      <c r="C238" t="s">
        <v>35</v>
      </c>
      <c r="D238" t="s">
        <v>21</v>
      </c>
      <c r="E238" t="s">
        <v>52</v>
      </c>
      <c r="F238">
        <v>5</v>
      </c>
      <c r="G238" t="s">
        <v>26</v>
      </c>
      <c r="H238" s="15">
        <v>4930</v>
      </c>
      <c r="I238" t="s">
        <v>14</v>
      </c>
      <c r="J238" t="s">
        <v>15</v>
      </c>
    </row>
    <row r="239" spans="1:10" hidden="1" x14ac:dyDescent="0.45">
      <c r="A239">
        <v>1240</v>
      </c>
      <c r="B239" s="1">
        <v>45814</v>
      </c>
      <c r="C239" t="s">
        <v>10</v>
      </c>
      <c r="D239" t="s">
        <v>16</v>
      </c>
      <c r="E239" t="s">
        <v>114</v>
      </c>
      <c r="F239">
        <v>3</v>
      </c>
      <c r="G239" t="s">
        <v>18</v>
      </c>
      <c r="H239" s="15">
        <v>3190</v>
      </c>
      <c r="I239" t="s">
        <v>14</v>
      </c>
      <c r="J239" t="s">
        <v>20</v>
      </c>
    </row>
    <row r="240" spans="1:10" hidden="1" x14ac:dyDescent="0.45">
      <c r="A240">
        <v>1241</v>
      </c>
      <c r="B240" s="1">
        <v>45826</v>
      </c>
      <c r="C240" t="s">
        <v>10</v>
      </c>
      <c r="D240" t="s">
        <v>11</v>
      </c>
      <c r="E240" t="s">
        <v>110</v>
      </c>
      <c r="F240">
        <v>6</v>
      </c>
      <c r="G240" t="s">
        <v>26</v>
      </c>
      <c r="H240" s="15">
        <v>520</v>
      </c>
      <c r="I240" t="s">
        <v>19</v>
      </c>
      <c r="J240" t="s">
        <v>20</v>
      </c>
    </row>
    <row r="241" spans="1:10" x14ac:dyDescent="0.45">
      <c r="A241">
        <v>1242</v>
      </c>
      <c r="B241" s="1">
        <v>45718</v>
      </c>
      <c r="C241" t="s">
        <v>28</v>
      </c>
      <c r="D241" t="s">
        <v>21</v>
      </c>
      <c r="E241" t="s">
        <v>73</v>
      </c>
      <c r="F241">
        <v>1</v>
      </c>
      <c r="G241" t="s">
        <v>13</v>
      </c>
      <c r="H241" s="15">
        <v>4440</v>
      </c>
      <c r="I241" t="s">
        <v>19</v>
      </c>
      <c r="J241" t="s">
        <v>15</v>
      </c>
    </row>
    <row r="242" spans="1:10" hidden="1" x14ac:dyDescent="0.45">
      <c r="A242">
        <v>1243</v>
      </c>
      <c r="B242" s="1">
        <v>45817</v>
      </c>
      <c r="C242" t="s">
        <v>30</v>
      </c>
      <c r="D242" t="s">
        <v>11</v>
      </c>
      <c r="E242" t="s">
        <v>130</v>
      </c>
      <c r="F242">
        <v>3</v>
      </c>
      <c r="G242" t="s">
        <v>26</v>
      </c>
      <c r="H242" s="15">
        <v>3780</v>
      </c>
      <c r="I242" t="s">
        <v>14</v>
      </c>
      <c r="J242" t="s">
        <v>20</v>
      </c>
    </row>
    <row r="243" spans="1:10" x14ac:dyDescent="0.45">
      <c r="A243">
        <v>1244</v>
      </c>
      <c r="B243" s="1">
        <v>45771</v>
      </c>
      <c r="C243" t="s">
        <v>28</v>
      </c>
      <c r="D243" t="s">
        <v>21</v>
      </c>
      <c r="E243" t="s">
        <v>94</v>
      </c>
      <c r="F243">
        <v>1</v>
      </c>
      <c r="G243" t="s">
        <v>26</v>
      </c>
      <c r="H243" s="15">
        <v>630</v>
      </c>
      <c r="I243" t="s">
        <v>29</v>
      </c>
      <c r="J243" t="s">
        <v>15</v>
      </c>
    </row>
    <row r="244" spans="1:10" x14ac:dyDescent="0.45">
      <c r="A244">
        <v>1245</v>
      </c>
      <c r="B244" s="1">
        <v>45680</v>
      </c>
      <c r="C244" t="s">
        <v>35</v>
      </c>
      <c r="D244" t="s">
        <v>21</v>
      </c>
      <c r="E244" t="s">
        <v>120</v>
      </c>
      <c r="F244">
        <v>3</v>
      </c>
      <c r="G244" t="s">
        <v>18</v>
      </c>
      <c r="H244" s="15">
        <v>3260</v>
      </c>
      <c r="I244" t="s">
        <v>19</v>
      </c>
      <c r="J244" t="s">
        <v>20</v>
      </c>
    </row>
    <row r="245" spans="1:10" hidden="1" x14ac:dyDescent="0.45">
      <c r="A245">
        <v>1246</v>
      </c>
      <c r="B245" s="1">
        <v>45687</v>
      </c>
      <c r="C245" t="s">
        <v>10</v>
      </c>
      <c r="D245" t="s">
        <v>24</v>
      </c>
      <c r="E245" t="s">
        <v>78</v>
      </c>
      <c r="F245">
        <v>6</v>
      </c>
      <c r="G245" t="s">
        <v>13</v>
      </c>
      <c r="H245" s="15">
        <v>4510</v>
      </c>
      <c r="I245" t="s">
        <v>29</v>
      </c>
      <c r="J245" t="s">
        <v>15</v>
      </c>
    </row>
    <row r="246" spans="1:10" x14ac:dyDescent="0.45">
      <c r="A246">
        <v>1247</v>
      </c>
      <c r="B246" s="1">
        <v>45661</v>
      </c>
      <c r="C246" t="s">
        <v>10</v>
      </c>
      <c r="D246" t="s">
        <v>21</v>
      </c>
      <c r="E246" t="s">
        <v>117</v>
      </c>
      <c r="F246">
        <v>2</v>
      </c>
      <c r="G246" t="s">
        <v>18</v>
      </c>
      <c r="H246" s="15">
        <v>1280</v>
      </c>
      <c r="I246" t="s">
        <v>19</v>
      </c>
      <c r="J246" t="s">
        <v>23</v>
      </c>
    </row>
    <row r="247" spans="1:10" hidden="1" x14ac:dyDescent="0.45">
      <c r="A247">
        <v>1248</v>
      </c>
      <c r="B247" s="1">
        <v>45805</v>
      </c>
      <c r="C247" t="s">
        <v>30</v>
      </c>
      <c r="D247" t="s">
        <v>16</v>
      </c>
      <c r="E247" t="s">
        <v>91</v>
      </c>
      <c r="F247">
        <v>2</v>
      </c>
      <c r="G247" t="s">
        <v>13</v>
      </c>
      <c r="H247" s="15">
        <v>4830</v>
      </c>
      <c r="I247" t="s">
        <v>14</v>
      </c>
      <c r="J247" t="s">
        <v>20</v>
      </c>
    </row>
    <row r="248" spans="1:10" hidden="1" x14ac:dyDescent="0.45">
      <c r="A248">
        <v>1249</v>
      </c>
      <c r="B248" s="1">
        <v>45828</v>
      </c>
      <c r="C248" t="s">
        <v>10</v>
      </c>
      <c r="D248" t="s">
        <v>11</v>
      </c>
      <c r="E248" t="s">
        <v>128</v>
      </c>
      <c r="F248">
        <v>2</v>
      </c>
      <c r="G248" t="s">
        <v>18</v>
      </c>
      <c r="H248" s="15">
        <v>530</v>
      </c>
      <c r="I248" t="s">
        <v>14</v>
      </c>
      <c r="J248" t="s">
        <v>15</v>
      </c>
    </row>
    <row r="249" spans="1:10" hidden="1" x14ac:dyDescent="0.45">
      <c r="A249">
        <v>1250</v>
      </c>
      <c r="B249" s="1">
        <v>45806</v>
      </c>
      <c r="C249" t="s">
        <v>35</v>
      </c>
      <c r="D249" t="s">
        <v>11</v>
      </c>
      <c r="E249" t="s">
        <v>73</v>
      </c>
      <c r="F249">
        <v>4</v>
      </c>
      <c r="G249" t="s">
        <v>13</v>
      </c>
      <c r="H249" s="15">
        <v>1080</v>
      </c>
      <c r="I249" t="s">
        <v>19</v>
      </c>
      <c r="J249" t="s">
        <v>15</v>
      </c>
    </row>
  </sheetData>
  <pageMargins left="0.75" right="0.75" top="1" bottom="1" header="0.5" footer="0.5"/>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90FE0-71CA-45D8-AB9B-447FF1DE69A9}">
  <dimension ref="B2:C24"/>
  <sheetViews>
    <sheetView workbookViewId="0">
      <selection activeCell="B18" sqref="B18"/>
    </sheetView>
  </sheetViews>
  <sheetFormatPr defaultRowHeight="14.25" x14ac:dyDescent="0.45"/>
  <cols>
    <col min="2" max="2" width="14.265625" customWidth="1"/>
    <col min="3" max="3" width="24.265625" bestFit="1" customWidth="1"/>
  </cols>
  <sheetData>
    <row r="2" spans="2:3" x14ac:dyDescent="0.45">
      <c r="B2" t="s">
        <v>144</v>
      </c>
      <c r="C2" t="s">
        <v>3</v>
      </c>
    </row>
    <row r="3" spans="2:3" x14ac:dyDescent="0.45">
      <c r="B3">
        <f>COUNTIF(Raw_Data!D2:D249, "Isfahan")</f>
        <v>66</v>
      </c>
      <c r="C3" t="s">
        <v>138</v>
      </c>
    </row>
    <row r="4" spans="2:3" x14ac:dyDescent="0.45">
      <c r="B4">
        <f>COUNTIF(Raw_Data!D2:D249, "Shiraz")</f>
        <v>64</v>
      </c>
      <c r="C4" t="s">
        <v>139</v>
      </c>
    </row>
    <row r="5" spans="2:3" x14ac:dyDescent="0.45">
      <c r="B5">
        <f>COUNTIF(Raw_Data!D2:D249, "Tehran")</f>
        <v>60</v>
      </c>
      <c r="C5" t="s">
        <v>140</v>
      </c>
    </row>
    <row r="6" spans="2:3" x14ac:dyDescent="0.45">
      <c r="B6">
        <f>COUNTIF(Raw_Data!D2:D249, "Mashhad")</f>
        <v>58</v>
      </c>
      <c r="C6" t="s">
        <v>141</v>
      </c>
    </row>
    <row r="8" spans="2:3" x14ac:dyDescent="0.45">
      <c r="B8" t="s">
        <v>144</v>
      </c>
      <c r="C8" t="s">
        <v>145</v>
      </c>
    </row>
    <row r="9" spans="2:3" x14ac:dyDescent="0.45">
      <c r="B9">
        <f>COUNTIF(Raw_Data!J2:J249, "OTA")</f>
        <v>80</v>
      </c>
      <c r="C9" t="s">
        <v>135</v>
      </c>
    </row>
    <row r="10" spans="2:3" x14ac:dyDescent="0.45">
      <c r="B10">
        <f>COUNTIF(Raw_Data!J2:J249, "Website")</f>
        <v>91</v>
      </c>
      <c r="C10" t="s">
        <v>136</v>
      </c>
    </row>
    <row r="11" spans="2:3" x14ac:dyDescent="0.45">
      <c r="B11">
        <f>COUNTIF(Raw_Data!J2:J249, "Phone")</f>
        <v>77</v>
      </c>
      <c r="C11" t="s">
        <v>137</v>
      </c>
    </row>
    <row r="13" spans="2:3" x14ac:dyDescent="0.45">
      <c r="B13" t="s">
        <v>144</v>
      </c>
      <c r="C13" t="s">
        <v>146</v>
      </c>
    </row>
    <row r="14" spans="2:3" x14ac:dyDescent="0.45">
      <c r="B14">
        <f>COUNTIF(Raw_Data!G2:G249, "Suite")</f>
        <v>92</v>
      </c>
      <c r="C14" t="s">
        <v>148</v>
      </c>
    </row>
    <row r="15" spans="2:3" x14ac:dyDescent="0.45">
      <c r="B15">
        <f>COUNTIF(Raw_Data!G2:G249, "Standard")</f>
        <v>86</v>
      </c>
      <c r="C15" t="s">
        <v>147</v>
      </c>
    </row>
    <row r="16" spans="2:3" x14ac:dyDescent="0.45">
      <c r="B16">
        <f>COUNTIF(Raw_Data!G2:G249, "Deluxe")</f>
        <v>70</v>
      </c>
      <c r="C16" t="s">
        <v>149</v>
      </c>
    </row>
    <row r="18" spans="2:3" x14ac:dyDescent="0.45">
      <c r="B18" s="21">
        <f>SUM(Raw_Data!H2:H249)</f>
        <v>684710</v>
      </c>
      <c r="C18" t="s">
        <v>142</v>
      </c>
    </row>
    <row r="19" spans="2:3" x14ac:dyDescent="0.45">
      <c r="B19" s="19">
        <f>AVERAGE(Raw_Data!F2:F249)</f>
        <v>3.9556451612903225</v>
      </c>
      <c r="C19" t="s">
        <v>153</v>
      </c>
    </row>
    <row r="20" spans="2:3" x14ac:dyDescent="0.45">
      <c r="B20" s="20">
        <f>COUNT(Raw_Data!A1:A249)</f>
        <v>248</v>
      </c>
      <c r="C20" t="s">
        <v>154</v>
      </c>
    </row>
    <row r="21" spans="2:3" x14ac:dyDescent="0.45">
      <c r="B21" s="21">
        <f>AVERAGE(Raw_Data!H2:H249)</f>
        <v>2772.1052631578946</v>
      </c>
      <c r="C21" t="s">
        <v>155</v>
      </c>
    </row>
    <row r="22" spans="2:3" x14ac:dyDescent="0.45">
      <c r="B22">
        <f>COUNTIF( Raw_Data!I1:I249, "Confirmed")</f>
        <v>90</v>
      </c>
      <c r="C22" t="s">
        <v>160</v>
      </c>
    </row>
    <row r="23" spans="2:3" x14ac:dyDescent="0.45">
      <c r="B23">
        <f>COUNTIF( Raw_Data!I1:I249, "Cancelled")</f>
        <v>74</v>
      </c>
      <c r="C23" t="s">
        <v>159</v>
      </c>
    </row>
    <row r="24" spans="2:3" x14ac:dyDescent="0.45">
      <c r="B24">
        <f>COUNTIF( Raw_Data!I1:I249, "Completed")</f>
        <v>84</v>
      </c>
      <c r="C24" t="s">
        <v>160</v>
      </c>
    </row>
  </sheetData>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0276E-3A53-496C-8C12-F3E48B263E96}">
  <dimension ref="A3:G63"/>
  <sheetViews>
    <sheetView zoomScale="112" workbookViewId="0">
      <selection activeCell="A28" sqref="A28"/>
    </sheetView>
  </sheetViews>
  <sheetFormatPr defaultRowHeight="14.25" x14ac:dyDescent="0.45"/>
  <cols>
    <col min="1" max="1" width="12.06640625" bestFit="1" customWidth="1"/>
    <col min="2" max="2" width="14.265625" bestFit="1" customWidth="1"/>
    <col min="3" max="3" width="17.265625" bestFit="1" customWidth="1"/>
    <col min="6" max="6" width="14.265625" bestFit="1" customWidth="1"/>
    <col min="7" max="7" width="18.73046875" bestFit="1" customWidth="1"/>
  </cols>
  <sheetData>
    <row r="3" spans="1:2" x14ac:dyDescent="0.45">
      <c r="A3" s="12" t="s">
        <v>132</v>
      </c>
      <c r="B3" t="s">
        <v>134</v>
      </c>
    </row>
    <row r="4" spans="1:2" x14ac:dyDescent="0.45">
      <c r="A4" s="13" t="s">
        <v>10</v>
      </c>
      <c r="B4" s="17">
        <v>206270</v>
      </c>
    </row>
    <row r="5" spans="1:2" x14ac:dyDescent="0.45">
      <c r="A5" s="13" t="s">
        <v>30</v>
      </c>
      <c r="B5" s="17">
        <v>175780</v>
      </c>
    </row>
    <row r="6" spans="1:2" x14ac:dyDescent="0.45">
      <c r="A6" s="13" t="s">
        <v>35</v>
      </c>
      <c r="B6" s="17">
        <v>122600</v>
      </c>
    </row>
    <row r="7" spans="1:2" x14ac:dyDescent="0.45">
      <c r="A7" s="13" t="s">
        <v>28</v>
      </c>
      <c r="B7" s="17">
        <v>180060</v>
      </c>
    </row>
    <row r="8" spans="1:2" x14ac:dyDescent="0.45">
      <c r="A8" s="13" t="s">
        <v>133</v>
      </c>
      <c r="B8" s="17">
        <v>684710</v>
      </c>
    </row>
    <row r="11" spans="1:2" x14ac:dyDescent="0.45">
      <c r="A11" s="12" t="s">
        <v>132</v>
      </c>
      <c r="B11" t="s">
        <v>134</v>
      </c>
    </row>
    <row r="12" spans="1:2" x14ac:dyDescent="0.45">
      <c r="A12" s="13" t="s">
        <v>16</v>
      </c>
      <c r="B12" s="17">
        <v>177550</v>
      </c>
    </row>
    <row r="13" spans="1:2" x14ac:dyDescent="0.45">
      <c r="A13" s="13" t="s">
        <v>24</v>
      </c>
      <c r="B13" s="17">
        <v>166660</v>
      </c>
    </row>
    <row r="14" spans="1:2" x14ac:dyDescent="0.45">
      <c r="A14" s="13" t="s">
        <v>11</v>
      </c>
      <c r="B14" s="17">
        <v>175610</v>
      </c>
    </row>
    <row r="15" spans="1:2" x14ac:dyDescent="0.45">
      <c r="A15" s="13" t="s">
        <v>21</v>
      </c>
      <c r="B15" s="17">
        <v>164890</v>
      </c>
    </row>
    <row r="16" spans="1:2" x14ac:dyDescent="0.45">
      <c r="A16" s="13" t="s">
        <v>133</v>
      </c>
      <c r="B16" s="17">
        <v>684710</v>
      </c>
    </row>
    <row r="20" spans="1:3" x14ac:dyDescent="0.45">
      <c r="A20" s="12" t="s">
        <v>132</v>
      </c>
      <c r="B20" t="s">
        <v>143</v>
      </c>
    </row>
    <row r="21" spans="1:3" x14ac:dyDescent="0.45">
      <c r="A21" s="13" t="s">
        <v>141</v>
      </c>
      <c r="B21" s="14">
        <v>58</v>
      </c>
    </row>
    <row r="22" spans="1:3" x14ac:dyDescent="0.45">
      <c r="A22" s="13" t="s">
        <v>139</v>
      </c>
      <c r="B22" s="14">
        <v>64</v>
      </c>
    </row>
    <row r="23" spans="1:3" x14ac:dyDescent="0.45">
      <c r="A23" s="13" t="s">
        <v>140</v>
      </c>
      <c r="B23" s="14">
        <v>60</v>
      </c>
    </row>
    <row r="24" spans="1:3" x14ac:dyDescent="0.45">
      <c r="A24" s="13" t="s">
        <v>133</v>
      </c>
      <c r="B24" s="14">
        <v>182</v>
      </c>
    </row>
    <row r="27" spans="1:3" x14ac:dyDescent="0.45">
      <c r="A27" s="3"/>
      <c r="B27" s="4"/>
      <c r="C27" s="5"/>
    </row>
    <row r="28" spans="1:3" x14ac:dyDescent="0.45">
      <c r="A28" s="6"/>
      <c r="B28" s="7"/>
      <c r="C28" s="8"/>
    </row>
    <row r="29" spans="1:3" x14ac:dyDescent="0.45">
      <c r="A29" s="6"/>
      <c r="B29" s="7"/>
      <c r="C29" s="8"/>
    </row>
    <row r="30" spans="1:3" x14ac:dyDescent="0.45">
      <c r="A30" s="6"/>
      <c r="B30" s="7"/>
      <c r="C30" s="8"/>
    </row>
    <row r="31" spans="1:3" x14ac:dyDescent="0.45">
      <c r="A31" s="6"/>
      <c r="B31" s="7"/>
      <c r="C31" s="8"/>
    </row>
    <row r="32" spans="1:3" x14ac:dyDescent="0.45">
      <c r="A32" s="6"/>
      <c r="B32" s="7"/>
      <c r="C32" s="8"/>
    </row>
    <row r="33" spans="1:7" x14ac:dyDescent="0.45">
      <c r="A33" s="6"/>
      <c r="B33" s="7"/>
      <c r="C33" s="8"/>
      <c r="F33" s="12" t="s">
        <v>132</v>
      </c>
      <c r="G33" t="s">
        <v>150</v>
      </c>
    </row>
    <row r="34" spans="1:7" x14ac:dyDescent="0.45">
      <c r="A34" s="6"/>
      <c r="B34" s="7"/>
      <c r="C34" s="8"/>
      <c r="F34" s="13" t="s">
        <v>149</v>
      </c>
      <c r="G34" s="14">
        <v>70</v>
      </c>
    </row>
    <row r="35" spans="1:7" x14ac:dyDescent="0.45">
      <c r="A35" s="6"/>
      <c r="B35" s="7"/>
      <c r="C35" s="8"/>
      <c r="F35" s="13" t="s">
        <v>147</v>
      </c>
      <c r="G35" s="14">
        <v>86</v>
      </c>
    </row>
    <row r="36" spans="1:7" x14ac:dyDescent="0.45">
      <c r="A36" s="6"/>
      <c r="B36" s="7"/>
      <c r="C36" s="8"/>
      <c r="F36" s="13" t="s">
        <v>148</v>
      </c>
      <c r="G36" s="14">
        <v>92</v>
      </c>
    </row>
    <row r="37" spans="1:7" x14ac:dyDescent="0.45">
      <c r="A37" s="6"/>
      <c r="B37" s="7"/>
      <c r="C37" s="8"/>
      <c r="F37" s="13" t="s">
        <v>133</v>
      </c>
      <c r="G37" s="14">
        <v>248</v>
      </c>
    </row>
    <row r="38" spans="1:7" x14ac:dyDescent="0.45">
      <c r="A38" s="6"/>
      <c r="B38" s="7"/>
      <c r="C38" s="8"/>
    </row>
    <row r="39" spans="1:7" x14ac:dyDescent="0.45">
      <c r="A39" s="6"/>
      <c r="B39" s="7"/>
      <c r="C39" s="8"/>
    </row>
    <row r="40" spans="1:7" x14ac:dyDescent="0.45">
      <c r="A40" s="6"/>
      <c r="B40" s="7"/>
      <c r="C40" s="8"/>
      <c r="F40" s="12" t="s">
        <v>132</v>
      </c>
      <c r="G40" t="s">
        <v>150</v>
      </c>
    </row>
    <row r="41" spans="1:7" x14ac:dyDescent="0.45">
      <c r="A41" s="6"/>
      <c r="B41" s="7"/>
      <c r="C41" s="8"/>
      <c r="F41" s="13" t="s">
        <v>135</v>
      </c>
      <c r="G41" s="14">
        <v>80</v>
      </c>
    </row>
    <row r="42" spans="1:7" x14ac:dyDescent="0.45">
      <c r="A42" s="6"/>
      <c r="B42" s="7"/>
      <c r="C42" s="8"/>
      <c r="F42" s="13" t="s">
        <v>137</v>
      </c>
      <c r="G42" s="14">
        <v>77</v>
      </c>
    </row>
    <row r="43" spans="1:7" x14ac:dyDescent="0.45">
      <c r="A43" s="6"/>
      <c r="B43" s="7"/>
      <c r="C43" s="8"/>
      <c r="F43" s="13" t="s">
        <v>136</v>
      </c>
      <c r="G43" s="14">
        <v>91</v>
      </c>
    </row>
    <row r="44" spans="1:7" x14ac:dyDescent="0.45">
      <c r="A44" s="9"/>
      <c r="B44" s="10"/>
      <c r="C44" s="11"/>
      <c r="F44" s="13" t="s">
        <v>133</v>
      </c>
      <c r="G44" s="14">
        <v>248</v>
      </c>
    </row>
    <row r="47" spans="1:7" x14ac:dyDescent="0.45">
      <c r="A47" s="12" t="s">
        <v>132</v>
      </c>
      <c r="B47" t="s">
        <v>150</v>
      </c>
    </row>
    <row r="48" spans="1:7" x14ac:dyDescent="0.45">
      <c r="A48" s="13" t="s">
        <v>138</v>
      </c>
      <c r="B48" s="14">
        <v>66</v>
      </c>
    </row>
    <row r="49" spans="1:2" x14ac:dyDescent="0.45">
      <c r="A49" s="13" t="s">
        <v>141</v>
      </c>
      <c r="B49" s="14">
        <v>58</v>
      </c>
    </row>
    <row r="50" spans="1:2" x14ac:dyDescent="0.45">
      <c r="A50" s="13" t="s">
        <v>139</v>
      </c>
      <c r="B50" s="14">
        <v>64</v>
      </c>
    </row>
    <row r="51" spans="1:2" x14ac:dyDescent="0.45">
      <c r="A51" s="13" t="s">
        <v>140</v>
      </c>
      <c r="B51" s="14">
        <v>60</v>
      </c>
    </row>
    <row r="52" spans="1:2" x14ac:dyDescent="0.45">
      <c r="A52" s="13" t="s">
        <v>133</v>
      </c>
      <c r="B52" s="14">
        <v>248</v>
      </c>
    </row>
    <row r="55" spans="1:2" x14ac:dyDescent="0.45">
      <c r="A55" s="12" t="s">
        <v>132</v>
      </c>
      <c r="B55" t="s">
        <v>134</v>
      </c>
    </row>
    <row r="56" spans="1:2" x14ac:dyDescent="0.45">
      <c r="A56" s="18" t="s">
        <v>164</v>
      </c>
      <c r="B56" s="17">
        <v>109760</v>
      </c>
    </row>
    <row r="57" spans="1:2" x14ac:dyDescent="0.45">
      <c r="A57" s="18" t="s">
        <v>165</v>
      </c>
      <c r="B57" s="17">
        <v>84660</v>
      </c>
    </row>
    <row r="58" spans="1:2" x14ac:dyDescent="0.45">
      <c r="A58" s="18" t="s">
        <v>166</v>
      </c>
      <c r="B58" s="17">
        <v>103150</v>
      </c>
    </row>
    <row r="59" spans="1:2" x14ac:dyDescent="0.45">
      <c r="A59" s="18" t="s">
        <v>167</v>
      </c>
      <c r="B59" s="17">
        <v>93470</v>
      </c>
    </row>
    <row r="60" spans="1:2" x14ac:dyDescent="0.45">
      <c r="A60" s="18" t="s">
        <v>168</v>
      </c>
      <c r="B60" s="17">
        <v>119420</v>
      </c>
    </row>
    <row r="61" spans="1:2" x14ac:dyDescent="0.45">
      <c r="A61" s="18" t="s">
        <v>169</v>
      </c>
      <c r="B61" s="17">
        <v>117870</v>
      </c>
    </row>
    <row r="62" spans="1:2" x14ac:dyDescent="0.45">
      <c r="A62" s="18" t="s">
        <v>170</v>
      </c>
      <c r="B62" s="17">
        <v>56380</v>
      </c>
    </row>
    <row r="63" spans="1:2" x14ac:dyDescent="0.45">
      <c r="A63" s="13" t="s">
        <v>133</v>
      </c>
      <c r="B63" s="17">
        <v>684710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Raw_Data</vt:lpstr>
      <vt:lpstr>Calculation</vt:lpstr>
      <vt:lpstr>Pivot Tables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Connect System</cp:lastModifiedBy>
  <dcterms:created xsi:type="dcterms:W3CDTF">2026-08-04T19:53:17Z</dcterms:created>
  <dcterms:modified xsi:type="dcterms:W3CDTF">2026-08-11T09:06:13Z</dcterms:modified>
</cp:coreProperties>
</file>